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 Baños\Desktop\Doctorat\Doctorat\Articles Propis\En procés publicació\Replicates\MEE\Taules\"/>
    </mc:Choice>
  </mc:AlternateContent>
  <xr:revisionPtr revIDLastSave="0" documentId="8_{CD3505F2-4796-43B1-A4E1-2CD62F593002}" xr6:coauthVersionLast="47" xr6:coauthVersionMax="47" xr10:uidLastSave="{00000000-0000-0000-0000-000000000000}"/>
  <bookViews>
    <workbookView xWindow="-27150" yWindow="675" windowWidth="21600" windowHeight="11175" tabRatio="917" xr2:uid="{BED41044-F4BA-4A3C-AA4C-5B9C5DBE3A0C}"/>
  </bookViews>
  <sheets>
    <sheet name="Cicero" sheetId="6" r:id="rId1"/>
    <sheet name="Colindres" sheetId="7" r:id="rId2"/>
    <sheet name="Santona" sheetId="8" r:id="rId3"/>
    <sheet name="All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8" i="8" l="1"/>
  <c r="S27" i="8"/>
  <c r="R29" i="7"/>
  <c r="R28" i="7"/>
  <c r="R28" i="6"/>
  <c r="R27" i="6"/>
  <c r="Q32" i="8"/>
  <c r="O28" i="6"/>
  <c r="G5" i="8"/>
  <c r="G6" i="8"/>
  <c r="G7" i="8"/>
  <c r="G8" i="8"/>
  <c r="G9" i="8"/>
  <c r="G10" i="8"/>
  <c r="G11" i="8"/>
  <c r="G12" i="8"/>
  <c r="G13" i="8"/>
  <c r="G14" i="8"/>
  <c r="G15" i="8"/>
  <c r="H5" i="8"/>
  <c r="G4" i="8"/>
  <c r="H4" i="8" s="1"/>
  <c r="G5" i="7"/>
  <c r="G6" i="7"/>
  <c r="G7" i="7"/>
  <c r="G8" i="7"/>
  <c r="H8" i="7" s="1"/>
  <c r="G9" i="7"/>
  <c r="H9" i="7" s="1"/>
  <c r="G10" i="7"/>
  <c r="H10" i="7" s="1"/>
  <c r="G11" i="7"/>
  <c r="G12" i="7"/>
  <c r="G13" i="7"/>
  <c r="H13" i="7" s="1"/>
  <c r="G14" i="7"/>
  <c r="H14" i="7" s="1"/>
  <c r="G15" i="7"/>
  <c r="G4" i="7"/>
  <c r="H4" i="7" s="1"/>
  <c r="O30" i="8"/>
  <c r="J27" i="7"/>
  <c r="O30" i="7" s="1"/>
  <c r="E25" i="7"/>
  <c r="H12" i="7"/>
  <c r="H11" i="7"/>
  <c r="H7" i="7"/>
  <c r="H6" i="7"/>
  <c r="H5" i="7"/>
  <c r="O29" i="8" l="1"/>
  <c r="O28" i="8"/>
  <c r="O28" i="7"/>
  <c r="Q32" i="7" s="1"/>
  <c r="O29" i="7"/>
  <c r="G5" i="6" l="1"/>
  <c r="G6" i="6"/>
  <c r="G7" i="6"/>
  <c r="G8" i="6"/>
  <c r="G9" i="6"/>
  <c r="G10" i="6"/>
  <c r="G11" i="6"/>
  <c r="G12" i="6"/>
  <c r="G13" i="6"/>
  <c r="G14" i="6"/>
  <c r="G15" i="6"/>
  <c r="G4" i="6"/>
  <c r="E25" i="6"/>
  <c r="H6" i="6" l="1"/>
  <c r="H5" i="6"/>
  <c r="H4" i="6"/>
  <c r="H14" i="6"/>
  <c r="H13" i="6"/>
  <c r="H12" i="6"/>
  <c r="H11" i="6"/>
  <c r="H10" i="6"/>
  <c r="H9" i="6"/>
  <c r="H8" i="6"/>
  <c r="H7" i="6"/>
  <c r="J27" i="6"/>
  <c r="O29" i="6" s="1"/>
  <c r="O30" i="6" l="1"/>
  <c r="Q32" i="6"/>
</calcChain>
</file>

<file path=xl/sharedStrings.xml><?xml version="1.0" encoding="utf-8"?>
<sst xmlns="http://schemas.openxmlformats.org/spreadsheetml/2006/main" count="159" uniqueCount="119">
  <si>
    <t>GAU ID</t>
  </si>
  <si>
    <t>Client ID</t>
  </si>
  <si>
    <t xml:space="preserve"> Depth (cm)</t>
  </si>
  <si>
    <t>Po-210</t>
  </si>
  <si>
    <t>Uncert</t>
  </si>
  <si>
    <t>Unsupp Pb</t>
  </si>
  <si>
    <t>LN</t>
  </si>
  <si>
    <t>Pb210 decay constant</t>
  </si>
  <si>
    <t>Value for supported lead in core:</t>
  </si>
  <si>
    <t>Coefficients</t>
  </si>
  <si>
    <t>Standard Error</t>
  </si>
  <si>
    <t>t Stat</t>
  </si>
  <si>
    <t>P-value</t>
  </si>
  <si>
    <t>Lower 95%</t>
  </si>
  <si>
    <t>Upper 95%</t>
  </si>
  <si>
    <t>Lower 95.0%</t>
  </si>
  <si>
    <t>Upper 95.0%</t>
  </si>
  <si>
    <t>CORE ID</t>
  </si>
  <si>
    <t>Upper range</t>
  </si>
  <si>
    <t>Lower range</t>
  </si>
  <si>
    <t>Average</t>
  </si>
  <si>
    <t>Sedimentation Rate (cm/yr)</t>
  </si>
  <si>
    <t>Cicero</t>
  </si>
  <si>
    <t>GAU4576/1</t>
  </si>
  <si>
    <t>CCO_C3_1</t>
  </si>
  <si>
    <t>GAU4576/2</t>
  </si>
  <si>
    <t>CCO_C3_2</t>
  </si>
  <si>
    <t>GAU4576/3</t>
  </si>
  <si>
    <t>CCO_C3_4</t>
  </si>
  <si>
    <t>GAU4576/5</t>
  </si>
  <si>
    <t>CCO_C3_8</t>
  </si>
  <si>
    <t>GAU4576/7</t>
  </si>
  <si>
    <t>CCO_C3_12</t>
  </si>
  <si>
    <t>GAU4576/9</t>
  </si>
  <si>
    <t>CCO_C3_16</t>
  </si>
  <si>
    <t>GAU4576/11</t>
  </si>
  <si>
    <t>CCO_C3_20</t>
  </si>
  <si>
    <t>GAU4576/13</t>
  </si>
  <si>
    <t>CCO_C3_24</t>
  </si>
  <si>
    <t>GAU4576/15</t>
  </si>
  <si>
    <t>CCO_C3_28</t>
  </si>
  <si>
    <t>GAU4576/17</t>
  </si>
  <si>
    <t>CCO_C3_32</t>
  </si>
  <si>
    <t>GAU4576/20</t>
  </si>
  <si>
    <t>CCO_C3_38</t>
  </si>
  <si>
    <t>GAU4576/25</t>
  </si>
  <si>
    <t>CCO_C3_48</t>
  </si>
  <si>
    <t>Data analysis (assuming surface to supported Pb at -48cm)</t>
  </si>
  <si>
    <t>Colindres</t>
  </si>
  <si>
    <t>GAU4573/1</t>
  </si>
  <si>
    <t>CLR_C3_1</t>
  </si>
  <si>
    <t>GAU4573/2</t>
  </si>
  <si>
    <t>CLR_C3_3</t>
  </si>
  <si>
    <t>GAU4573/3</t>
  </si>
  <si>
    <t>CLR_C3_5</t>
  </si>
  <si>
    <t>GAU4573/5</t>
  </si>
  <si>
    <t>CLR_C3_9</t>
  </si>
  <si>
    <t>GAU4573/7</t>
  </si>
  <si>
    <t>CLR_C3_13</t>
  </si>
  <si>
    <t>GAU4573/9</t>
  </si>
  <si>
    <t>CLR_C3_17</t>
  </si>
  <si>
    <t>GAU4573/11</t>
  </si>
  <si>
    <t>CLR_C3_21</t>
  </si>
  <si>
    <t>GAU4573/13</t>
  </si>
  <si>
    <t>CLR_C3_25</t>
  </si>
  <si>
    <t>GAU4573/15</t>
  </si>
  <si>
    <t>CLR_C3_29</t>
  </si>
  <si>
    <t>GAU4573/17</t>
  </si>
  <si>
    <t>CLR_C3_33</t>
  </si>
  <si>
    <t>GAU4573/20</t>
  </si>
  <si>
    <t>CLR_C3_39</t>
  </si>
  <si>
    <t>GAU4573/26</t>
  </si>
  <si>
    <t>CLR_C3_49</t>
  </si>
  <si>
    <t>Santona</t>
  </si>
  <si>
    <t>GAU4568/1</t>
  </si>
  <si>
    <t>STO_C3_1</t>
  </si>
  <si>
    <t>GAU4568/4</t>
  </si>
  <si>
    <t>STO_C3_6</t>
  </si>
  <si>
    <t>GAU4568/6</t>
  </si>
  <si>
    <t>STO_C3_10</t>
  </si>
  <si>
    <t>GAU4568/8</t>
  </si>
  <si>
    <t>STO_C3_14</t>
  </si>
  <si>
    <t>GAU4568/10</t>
  </si>
  <si>
    <t>STO_C3_18</t>
  </si>
  <si>
    <t>GAU4568/13</t>
  </si>
  <si>
    <t>STO_C3_24</t>
  </si>
  <si>
    <t>GAU4568/16</t>
  </si>
  <si>
    <t>STO_C3_30</t>
  </si>
  <si>
    <t>GAU4568/19</t>
  </si>
  <si>
    <t>STO_C3_36</t>
  </si>
  <si>
    <t>GAU4568/22</t>
  </si>
  <si>
    <t>STO_C3_42</t>
  </si>
  <si>
    <t>GAU4568/25</t>
  </si>
  <si>
    <t>STO_C3_48</t>
  </si>
  <si>
    <t>GAU4568/27</t>
  </si>
  <si>
    <t>STO_C3_54</t>
  </si>
  <si>
    <t>GAU4568/30</t>
  </si>
  <si>
    <t>STO_C3_60</t>
  </si>
  <si>
    <t>Data analysis: supported activities reached at -10cm, therefore sediment accumulation rate = 10/120 = ca. 0.1cm/y. Condensed sequence.</t>
  </si>
  <si>
    <t>In yr/cm format:</t>
  </si>
  <si>
    <t>Core</t>
  </si>
  <si>
    <t>Site</t>
  </si>
  <si>
    <t>Depth of supported Pb (cm)</t>
  </si>
  <si>
    <t>SAR (cm yr-1)</t>
  </si>
  <si>
    <t>Age at base</t>
  </si>
  <si>
    <t>STO</t>
  </si>
  <si>
    <t>CCO</t>
  </si>
  <si>
    <t>CLR</t>
  </si>
  <si>
    <t>0.53</t>
  </si>
  <si>
    <t>Santoña</t>
  </si>
  <si>
    <t>0.1</t>
  </si>
  <si>
    <t>~600 yr</t>
  </si>
  <si>
    <t>~90 yr</t>
  </si>
  <si>
    <t>~76 yr</t>
  </si>
  <si>
    <t>0.63</t>
  </si>
  <si>
    <t>2σ range</t>
  </si>
  <si>
    <t>0.42 - 0.73</t>
  </si>
  <si>
    <t>0.50 - 0.87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</si>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</sst>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0" xfId="0" applyBorder="1"/>
    <xf numFmtId="0" fontId="0" fillId="0" borderId="21" xfId="0" applyBorder="1"/>
    <xf numFmtId="0" fontId="1" fillId="0" borderId="16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164" fontId="0" fillId="0" borderId="23" xfId="0" applyNumberFormat="1" applyBorder="1" applyAlignment="1">
      <alignment horizontal="center"/>
    </xf>
    <xf numFmtId="0" fontId="1" fillId="0" borderId="24" xfId="0" applyFont="1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0" fontId="1" fillId="0" borderId="4" xfId="0" applyFont="1" applyBorder="1"/>
    <xf numFmtId="164" fontId="0" fillId="0" borderId="7" xfId="0" applyNumberFormat="1" applyBorder="1"/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0" xfId="0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8F8C"/>
      <color rgb="FF9A0000"/>
      <color rgb="FFB8B5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Cicero!$C$1</c:f>
              <c:strCache>
                <c:ptCount val="1"/>
                <c:pt idx="0">
                  <c:v>Cicero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7716680242555881"/>
                  <c:y val="-0.12352369282024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Cicero!$F$4:$F$23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1.0000000000000002E-2</c:v>
                  </c:pt>
                  <c:pt idx="3">
                    <c:v>2.0000000000000004E-2</c:v>
                  </c:pt>
                  <c:pt idx="4">
                    <c:v>8.0000000000000002E-3</c:v>
                  </c:pt>
                  <c:pt idx="5">
                    <c:v>6.9999999999999993E-3</c:v>
                  </c:pt>
                  <c:pt idx="6">
                    <c:v>9.0000000000000011E-3</c:v>
                  </c:pt>
                  <c:pt idx="7">
                    <c:v>6.0000000000000001E-3</c:v>
                  </c:pt>
                  <c:pt idx="8">
                    <c:v>5.0000000000000001E-3</c:v>
                  </c:pt>
                  <c:pt idx="9">
                    <c:v>6.0000000000000001E-3</c:v>
                  </c:pt>
                  <c:pt idx="10">
                    <c:v>4.0000000000000001E-3</c:v>
                  </c:pt>
                  <c:pt idx="11">
                    <c:v>2E-3</c:v>
                  </c:pt>
                </c:numCache>
              </c:numRef>
            </c:plus>
            <c:minus>
              <c:numRef>
                <c:f>Cicero!$F$4:$F$23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1.0000000000000002E-2</c:v>
                  </c:pt>
                  <c:pt idx="3">
                    <c:v>2.0000000000000004E-2</c:v>
                  </c:pt>
                  <c:pt idx="4">
                    <c:v>8.0000000000000002E-3</c:v>
                  </c:pt>
                  <c:pt idx="5">
                    <c:v>6.9999999999999993E-3</c:v>
                  </c:pt>
                  <c:pt idx="6">
                    <c:v>9.0000000000000011E-3</c:v>
                  </c:pt>
                  <c:pt idx="7">
                    <c:v>6.0000000000000001E-3</c:v>
                  </c:pt>
                  <c:pt idx="8">
                    <c:v>5.0000000000000001E-3</c:v>
                  </c:pt>
                  <c:pt idx="9">
                    <c:v>6.0000000000000001E-3</c:v>
                  </c:pt>
                  <c:pt idx="10">
                    <c:v>4.0000000000000001E-3</c:v>
                  </c:pt>
                  <c:pt idx="11">
                    <c:v>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Cicero!$H$4:$H$23</c:f>
              <c:numCache>
                <c:formatCode>0.0000</c:formatCode>
                <c:ptCount val="20"/>
                <c:pt idx="0">
                  <c:v>-1.9379419794061363</c:v>
                </c:pt>
                <c:pt idx="1">
                  <c:v>-2.0874737133771002</c:v>
                </c:pt>
                <c:pt idx="2">
                  <c:v>-2.6036901857779675</c:v>
                </c:pt>
                <c:pt idx="3">
                  <c:v>-2.364460496712133</c:v>
                </c:pt>
                <c:pt idx="4">
                  <c:v>-3.0576076772720784</c:v>
                </c:pt>
                <c:pt idx="5">
                  <c:v>-3.2188758248682006</c:v>
                </c:pt>
                <c:pt idx="6">
                  <c:v>-2.9187712324178627</c:v>
                </c:pt>
                <c:pt idx="7">
                  <c:v>-3.6119184129778081</c:v>
                </c:pt>
                <c:pt idx="8">
                  <c:v>-3.9633162998156966</c:v>
                </c:pt>
                <c:pt idx="9">
                  <c:v>-3.5065578973199818</c:v>
                </c:pt>
                <c:pt idx="10">
                  <c:v>-4.4228486291941369</c:v>
                </c:pt>
              </c:numCache>
            </c:numRef>
          </c:xVal>
          <c:yVal>
            <c:numRef>
              <c:f>Cicero!$D$4:$D$23</c:f>
              <c:numCache>
                <c:formatCode>General</c:formatCode>
                <c:ptCount val="20"/>
                <c:pt idx="0">
                  <c:v>-1</c:v>
                </c:pt>
                <c:pt idx="1">
                  <c:v>-2</c:v>
                </c:pt>
                <c:pt idx="2">
                  <c:v>-4</c:v>
                </c:pt>
                <c:pt idx="3">
                  <c:v>-8</c:v>
                </c:pt>
                <c:pt idx="4">
                  <c:v>-12</c:v>
                </c:pt>
                <c:pt idx="5">
                  <c:v>-16</c:v>
                </c:pt>
                <c:pt idx="6">
                  <c:v>-20</c:v>
                </c:pt>
                <c:pt idx="7">
                  <c:v>-24</c:v>
                </c:pt>
                <c:pt idx="8">
                  <c:v>-28</c:v>
                </c:pt>
                <c:pt idx="9">
                  <c:v>-32</c:v>
                </c:pt>
                <c:pt idx="10">
                  <c:v>-38</c:v>
                </c:pt>
                <c:pt idx="11">
                  <c:v>-48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9D-4F56-B2EE-24591D4A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Cicero!$C$1</c:f>
              <c:strCache>
                <c:ptCount val="1"/>
                <c:pt idx="0">
                  <c:v>Cicero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Cicero!$F$4:$F$23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1.0000000000000002E-2</c:v>
                  </c:pt>
                  <c:pt idx="3">
                    <c:v>2.0000000000000004E-2</c:v>
                  </c:pt>
                  <c:pt idx="4">
                    <c:v>8.0000000000000002E-3</c:v>
                  </c:pt>
                  <c:pt idx="5">
                    <c:v>6.9999999999999993E-3</c:v>
                  </c:pt>
                  <c:pt idx="6">
                    <c:v>9.0000000000000011E-3</c:v>
                  </c:pt>
                  <c:pt idx="7">
                    <c:v>6.0000000000000001E-3</c:v>
                  </c:pt>
                  <c:pt idx="8">
                    <c:v>5.0000000000000001E-3</c:v>
                  </c:pt>
                  <c:pt idx="9">
                    <c:v>6.0000000000000001E-3</c:v>
                  </c:pt>
                  <c:pt idx="10">
                    <c:v>4.0000000000000001E-3</c:v>
                  </c:pt>
                  <c:pt idx="11">
                    <c:v>2E-3</c:v>
                  </c:pt>
                </c:numCache>
              </c:numRef>
            </c:plus>
            <c:minus>
              <c:numRef>
                <c:f>Cicero!$F$4:$F$23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1.0000000000000002E-2</c:v>
                  </c:pt>
                  <c:pt idx="3">
                    <c:v>2.0000000000000004E-2</c:v>
                  </c:pt>
                  <c:pt idx="4">
                    <c:v>8.0000000000000002E-3</c:v>
                  </c:pt>
                  <c:pt idx="5">
                    <c:v>6.9999999999999993E-3</c:v>
                  </c:pt>
                  <c:pt idx="6">
                    <c:v>9.0000000000000011E-3</c:v>
                  </c:pt>
                  <c:pt idx="7">
                    <c:v>6.0000000000000001E-3</c:v>
                  </c:pt>
                  <c:pt idx="8">
                    <c:v>5.0000000000000001E-3</c:v>
                  </c:pt>
                  <c:pt idx="9">
                    <c:v>6.0000000000000001E-3</c:v>
                  </c:pt>
                  <c:pt idx="10">
                    <c:v>4.0000000000000001E-3</c:v>
                  </c:pt>
                  <c:pt idx="11">
                    <c:v>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Cicero!$E$4:$E$23</c:f>
              <c:numCache>
                <c:formatCode>0.000</c:formatCode>
                <c:ptCount val="20"/>
                <c:pt idx="0">
                  <c:v>0.16</c:v>
                </c:pt>
                <c:pt idx="1">
                  <c:v>0.14000000000000001</c:v>
                </c:pt>
                <c:pt idx="2">
                  <c:v>0.09</c:v>
                </c:pt>
                <c:pt idx="3">
                  <c:v>0.11</c:v>
                </c:pt>
                <c:pt idx="4">
                  <c:v>6.3E-2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4.2999999999999997E-2</c:v>
                </c:pt>
                <c:pt idx="8">
                  <c:v>3.5000000000000003E-2</c:v>
                </c:pt>
                <c:pt idx="9">
                  <c:v>4.5999999999999999E-2</c:v>
                </c:pt>
                <c:pt idx="10">
                  <c:v>2.8000000000000001E-2</c:v>
                </c:pt>
                <c:pt idx="11">
                  <c:v>1.6E-2</c:v>
                </c:pt>
              </c:numCache>
            </c:numRef>
          </c:xVal>
          <c:yVal>
            <c:numRef>
              <c:f>Cicero!$D$4:$D$23</c:f>
              <c:numCache>
                <c:formatCode>General</c:formatCode>
                <c:ptCount val="20"/>
                <c:pt idx="0">
                  <c:v>-1</c:v>
                </c:pt>
                <c:pt idx="1">
                  <c:v>-2</c:v>
                </c:pt>
                <c:pt idx="2">
                  <c:v>-4</c:v>
                </c:pt>
                <c:pt idx="3">
                  <c:v>-8</c:v>
                </c:pt>
                <c:pt idx="4">
                  <c:v>-12</c:v>
                </c:pt>
                <c:pt idx="5">
                  <c:v>-16</c:v>
                </c:pt>
                <c:pt idx="6">
                  <c:v>-20</c:v>
                </c:pt>
                <c:pt idx="7">
                  <c:v>-24</c:v>
                </c:pt>
                <c:pt idx="8">
                  <c:v>-28</c:v>
                </c:pt>
                <c:pt idx="9">
                  <c:v>-32</c:v>
                </c:pt>
                <c:pt idx="10">
                  <c:v>-38</c:v>
                </c:pt>
                <c:pt idx="11">
                  <c:v>-48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4E-4922-9EF7-5C0CD8702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Colindres!$C$1</c:f>
              <c:strCache>
                <c:ptCount val="1"/>
                <c:pt idx="0">
                  <c:v>Colindres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7716680242555881"/>
                  <c:y val="-0.12352369282024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Colindres!$F$4:$F$23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2.0000000000000004E-2</c:v>
                  </c:pt>
                  <c:pt idx="3">
                    <c:v>1.0000000000000002E-2</c:v>
                  </c:pt>
                  <c:pt idx="4">
                    <c:v>1.0000000000000002E-2</c:v>
                  </c:pt>
                  <c:pt idx="5">
                    <c:v>1.0000000000000002E-2</c:v>
                  </c:pt>
                  <c:pt idx="6">
                    <c:v>1.0000000000000002E-2</c:v>
                  </c:pt>
                  <c:pt idx="7">
                    <c:v>1.0000000000000002E-2</c:v>
                  </c:pt>
                  <c:pt idx="8">
                    <c:v>6.0000000000000001E-3</c:v>
                  </c:pt>
                  <c:pt idx="9">
                    <c:v>5.0000000000000001E-3</c:v>
                  </c:pt>
                  <c:pt idx="10">
                    <c:v>5.0000000000000001E-3</c:v>
                  </c:pt>
                  <c:pt idx="11">
                    <c:v>2E-3</c:v>
                  </c:pt>
                </c:numCache>
              </c:numRef>
            </c:plus>
            <c:minus>
              <c:numRef>
                <c:f>Colindres!$F$4:$F$23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2.0000000000000004E-2</c:v>
                  </c:pt>
                  <c:pt idx="3">
                    <c:v>1.0000000000000002E-2</c:v>
                  </c:pt>
                  <c:pt idx="4">
                    <c:v>1.0000000000000002E-2</c:v>
                  </c:pt>
                  <c:pt idx="5">
                    <c:v>1.0000000000000002E-2</c:v>
                  </c:pt>
                  <c:pt idx="6">
                    <c:v>1.0000000000000002E-2</c:v>
                  </c:pt>
                  <c:pt idx="7">
                    <c:v>1.0000000000000002E-2</c:v>
                  </c:pt>
                  <c:pt idx="8">
                    <c:v>6.0000000000000001E-3</c:v>
                  </c:pt>
                  <c:pt idx="9">
                    <c:v>5.0000000000000001E-3</c:v>
                  </c:pt>
                  <c:pt idx="10">
                    <c:v>5.0000000000000001E-3</c:v>
                  </c:pt>
                  <c:pt idx="11">
                    <c:v>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Colindres!$H$4:$H$23</c:f>
              <c:numCache>
                <c:formatCode>0.0000</c:formatCode>
                <c:ptCount val="20"/>
                <c:pt idx="0">
                  <c:v>-2.2537949288246137</c:v>
                </c:pt>
                <c:pt idx="1">
                  <c:v>-2.0794415416798357</c:v>
                </c:pt>
                <c:pt idx="2">
                  <c:v>-2.1628231506188871</c:v>
                </c:pt>
                <c:pt idx="3">
                  <c:v>-2.353878387381596</c:v>
                </c:pt>
                <c:pt idx="4">
                  <c:v>-2.353878387381596</c:v>
                </c:pt>
                <c:pt idx="5">
                  <c:v>-2.4651040224918206</c:v>
                </c:pt>
                <c:pt idx="6">
                  <c:v>-2.5902671654458267</c:v>
                </c:pt>
                <c:pt idx="7">
                  <c:v>-2.9004220937496661</c:v>
                </c:pt>
                <c:pt idx="8">
                  <c:v>-3.5404594489956631</c:v>
                </c:pt>
                <c:pt idx="9">
                  <c:v>-3.8632328412587142</c:v>
                </c:pt>
                <c:pt idx="10">
                  <c:v>-3.8167128256238212</c:v>
                </c:pt>
              </c:numCache>
            </c:numRef>
          </c:xVal>
          <c:yVal>
            <c:numRef>
              <c:f>Colindres!$D$4:$D$23</c:f>
              <c:numCache>
                <c:formatCode>General</c:formatCode>
                <c:ptCount val="20"/>
                <c:pt idx="0">
                  <c:v>-1</c:v>
                </c:pt>
                <c:pt idx="1">
                  <c:v>-3</c:v>
                </c:pt>
                <c:pt idx="2">
                  <c:v>-5</c:v>
                </c:pt>
                <c:pt idx="3">
                  <c:v>-9</c:v>
                </c:pt>
                <c:pt idx="4">
                  <c:v>-13</c:v>
                </c:pt>
                <c:pt idx="5">
                  <c:v>-17</c:v>
                </c:pt>
                <c:pt idx="6">
                  <c:v>-21</c:v>
                </c:pt>
                <c:pt idx="7">
                  <c:v>-25</c:v>
                </c:pt>
                <c:pt idx="8">
                  <c:v>-29</c:v>
                </c:pt>
                <c:pt idx="9">
                  <c:v>-33</c:v>
                </c:pt>
                <c:pt idx="10">
                  <c:v>-39</c:v>
                </c:pt>
                <c:pt idx="11">
                  <c:v>-49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19-4129-B470-268A1EE65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Colindres!$C$1</c:f>
              <c:strCache>
                <c:ptCount val="1"/>
                <c:pt idx="0">
                  <c:v>Colindres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Colindres!$F$4:$F$23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2.0000000000000004E-2</c:v>
                  </c:pt>
                  <c:pt idx="3">
                    <c:v>1.0000000000000002E-2</c:v>
                  </c:pt>
                  <c:pt idx="4">
                    <c:v>1.0000000000000002E-2</c:v>
                  </c:pt>
                  <c:pt idx="5">
                    <c:v>1.0000000000000002E-2</c:v>
                  </c:pt>
                  <c:pt idx="6">
                    <c:v>1.0000000000000002E-2</c:v>
                  </c:pt>
                  <c:pt idx="7">
                    <c:v>1.0000000000000002E-2</c:v>
                  </c:pt>
                  <c:pt idx="8">
                    <c:v>6.0000000000000001E-3</c:v>
                  </c:pt>
                  <c:pt idx="9">
                    <c:v>5.0000000000000001E-3</c:v>
                  </c:pt>
                  <c:pt idx="10">
                    <c:v>5.0000000000000001E-3</c:v>
                  </c:pt>
                  <c:pt idx="11">
                    <c:v>2E-3</c:v>
                  </c:pt>
                </c:numCache>
              </c:numRef>
            </c:plus>
            <c:minus>
              <c:numRef>
                <c:f>Colindres!$F$4:$F$23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2.0000000000000004E-2</c:v>
                  </c:pt>
                  <c:pt idx="3">
                    <c:v>1.0000000000000002E-2</c:v>
                  </c:pt>
                  <c:pt idx="4">
                    <c:v>1.0000000000000002E-2</c:v>
                  </c:pt>
                  <c:pt idx="5">
                    <c:v>1.0000000000000002E-2</c:v>
                  </c:pt>
                  <c:pt idx="6">
                    <c:v>1.0000000000000002E-2</c:v>
                  </c:pt>
                  <c:pt idx="7">
                    <c:v>1.0000000000000002E-2</c:v>
                  </c:pt>
                  <c:pt idx="8">
                    <c:v>6.0000000000000001E-3</c:v>
                  </c:pt>
                  <c:pt idx="9">
                    <c:v>5.0000000000000001E-3</c:v>
                  </c:pt>
                  <c:pt idx="10">
                    <c:v>5.0000000000000001E-3</c:v>
                  </c:pt>
                  <c:pt idx="11">
                    <c:v>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Colindres!$E$4:$E$23</c:f>
              <c:numCache>
                <c:formatCode>0.000</c:formatCode>
                <c:ptCount val="20"/>
                <c:pt idx="0">
                  <c:v>0.12</c:v>
                </c:pt>
                <c:pt idx="1">
                  <c:v>0.14000000000000001</c:v>
                </c:pt>
                <c:pt idx="2">
                  <c:v>0.13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0.09</c:v>
                </c:pt>
                <c:pt idx="7">
                  <c:v>7.0000000000000007E-2</c:v>
                </c:pt>
                <c:pt idx="8">
                  <c:v>4.3999999999999997E-2</c:v>
                </c:pt>
                <c:pt idx="9">
                  <c:v>3.5999999999999997E-2</c:v>
                </c:pt>
                <c:pt idx="10">
                  <c:v>3.6999999999999998E-2</c:v>
                </c:pt>
                <c:pt idx="11">
                  <c:v>1.4999999999999999E-2</c:v>
                </c:pt>
              </c:numCache>
            </c:numRef>
          </c:xVal>
          <c:yVal>
            <c:numRef>
              <c:f>Colindres!$D$4:$D$23</c:f>
              <c:numCache>
                <c:formatCode>General</c:formatCode>
                <c:ptCount val="20"/>
                <c:pt idx="0">
                  <c:v>-1</c:v>
                </c:pt>
                <c:pt idx="1">
                  <c:v>-3</c:v>
                </c:pt>
                <c:pt idx="2">
                  <c:v>-5</c:v>
                </c:pt>
                <c:pt idx="3">
                  <c:v>-9</c:v>
                </c:pt>
                <c:pt idx="4">
                  <c:v>-13</c:v>
                </c:pt>
                <c:pt idx="5">
                  <c:v>-17</c:v>
                </c:pt>
                <c:pt idx="6">
                  <c:v>-21</c:v>
                </c:pt>
                <c:pt idx="7">
                  <c:v>-25</c:v>
                </c:pt>
                <c:pt idx="8">
                  <c:v>-29</c:v>
                </c:pt>
                <c:pt idx="9">
                  <c:v>-33</c:v>
                </c:pt>
                <c:pt idx="10">
                  <c:v>-39</c:v>
                </c:pt>
                <c:pt idx="11">
                  <c:v>-49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C7-4F5C-8D18-B6D8B72D6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Santona!$C$1</c:f>
              <c:strCache>
                <c:ptCount val="1"/>
                <c:pt idx="0">
                  <c:v>Santona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7716680242555881"/>
                  <c:y val="-0.12352369282024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Santona!$F$4:$F$23</c:f>
                <c:numCache>
                  <c:formatCode>General</c:formatCode>
                  <c:ptCount val="20"/>
                  <c:pt idx="0">
                    <c:v>8.9999999999999993E-3</c:v>
                  </c:pt>
                  <c:pt idx="1">
                    <c:v>2E-3</c:v>
                  </c:pt>
                  <c:pt idx="2">
                    <c:v>1E-3</c:v>
                  </c:pt>
                  <c:pt idx="3">
                    <c:v>1E-3</c:v>
                  </c:pt>
                  <c:pt idx="4">
                    <c:v>1E-3</c:v>
                  </c:pt>
                  <c:pt idx="5">
                    <c:v>1E-3</c:v>
                  </c:pt>
                  <c:pt idx="6">
                    <c:v>2E-3</c:v>
                  </c:pt>
                  <c:pt idx="7">
                    <c:v>1E-3</c:v>
                  </c:pt>
                  <c:pt idx="8">
                    <c:v>1E-3</c:v>
                  </c:pt>
                  <c:pt idx="9">
                    <c:v>1E-3</c:v>
                  </c:pt>
                  <c:pt idx="10">
                    <c:v>1E-3</c:v>
                  </c:pt>
                  <c:pt idx="11">
                    <c:v>1E-3</c:v>
                  </c:pt>
                </c:numCache>
              </c:numRef>
            </c:plus>
            <c:minus>
              <c:numRef>
                <c:f>Santona!$F$4:$F$23</c:f>
                <c:numCache>
                  <c:formatCode>General</c:formatCode>
                  <c:ptCount val="20"/>
                  <c:pt idx="0">
                    <c:v>8.9999999999999993E-3</c:v>
                  </c:pt>
                  <c:pt idx="1">
                    <c:v>2E-3</c:v>
                  </c:pt>
                  <c:pt idx="2">
                    <c:v>1E-3</c:v>
                  </c:pt>
                  <c:pt idx="3">
                    <c:v>1E-3</c:v>
                  </c:pt>
                  <c:pt idx="4">
                    <c:v>1E-3</c:v>
                  </c:pt>
                  <c:pt idx="5">
                    <c:v>1E-3</c:v>
                  </c:pt>
                  <c:pt idx="6">
                    <c:v>2E-3</c:v>
                  </c:pt>
                  <c:pt idx="7">
                    <c:v>1E-3</c:v>
                  </c:pt>
                  <c:pt idx="8">
                    <c:v>1E-3</c:v>
                  </c:pt>
                  <c:pt idx="9">
                    <c:v>1E-3</c:v>
                  </c:pt>
                  <c:pt idx="10">
                    <c:v>1E-3</c:v>
                  </c:pt>
                  <c:pt idx="11">
                    <c:v>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Santona!$H$4:$H$23</c:f>
              <c:numCache>
                <c:formatCode>0.0000</c:formatCode>
                <c:ptCount val="20"/>
                <c:pt idx="0">
                  <c:v>-2.7968814148088259</c:v>
                </c:pt>
                <c:pt idx="1">
                  <c:v>-5.8091429903140277</c:v>
                </c:pt>
              </c:numCache>
            </c:numRef>
          </c:xVal>
          <c:yVal>
            <c:numRef>
              <c:f>Santona!$D$4:$D$23</c:f>
              <c:numCache>
                <c:formatCode>General</c:formatCode>
                <c:ptCount val="20"/>
                <c:pt idx="0">
                  <c:v>-1</c:v>
                </c:pt>
                <c:pt idx="1">
                  <c:v>-6</c:v>
                </c:pt>
                <c:pt idx="2">
                  <c:v>-10</c:v>
                </c:pt>
                <c:pt idx="3">
                  <c:v>-14</c:v>
                </c:pt>
                <c:pt idx="4">
                  <c:v>-18</c:v>
                </c:pt>
                <c:pt idx="5">
                  <c:v>-24</c:v>
                </c:pt>
                <c:pt idx="6">
                  <c:v>-30</c:v>
                </c:pt>
                <c:pt idx="7">
                  <c:v>-36</c:v>
                </c:pt>
                <c:pt idx="8">
                  <c:v>-42</c:v>
                </c:pt>
                <c:pt idx="9">
                  <c:v>-48</c:v>
                </c:pt>
                <c:pt idx="10">
                  <c:v>-54</c:v>
                </c:pt>
                <c:pt idx="11">
                  <c:v>-60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EE-4336-A46C-F1FD3779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Santona!$C$1</c:f>
              <c:strCache>
                <c:ptCount val="1"/>
                <c:pt idx="0">
                  <c:v>Santona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Santona!$F$4:$F$23</c:f>
                <c:numCache>
                  <c:formatCode>General</c:formatCode>
                  <c:ptCount val="20"/>
                  <c:pt idx="0">
                    <c:v>8.9999999999999993E-3</c:v>
                  </c:pt>
                  <c:pt idx="1">
                    <c:v>2E-3</c:v>
                  </c:pt>
                  <c:pt idx="2">
                    <c:v>1E-3</c:v>
                  </c:pt>
                  <c:pt idx="3">
                    <c:v>1E-3</c:v>
                  </c:pt>
                  <c:pt idx="4">
                    <c:v>1E-3</c:v>
                  </c:pt>
                  <c:pt idx="5">
                    <c:v>1E-3</c:v>
                  </c:pt>
                  <c:pt idx="6">
                    <c:v>2E-3</c:v>
                  </c:pt>
                  <c:pt idx="7">
                    <c:v>1E-3</c:v>
                  </c:pt>
                  <c:pt idx="8">
                    <c:v>1E-3</c:v>
                  </c:pt>
                  <c:pt idx="9">
                    <c:v>1E-3</c:v>
                  </c:pt>
                  <c:pt idx="10">
                    <c:v>1E-3</c:v>
                  </c:pt>
                  <c:pt idx="11">
                    <c:v>1E-3</c:v>
                  </c:pt>
                </c:numCache>
              </c:numRef>
            </c:plus>
            <c:minus>
              <c:numRef>
                <c:f>Santona!$F$4:$F$23</c:f>
                <c:numCache>
                  <c:formatCode>General</c:formatCode>
                  <c:ptCount val="20"/>
                  <c:pt idx="0">
                    <c:v>8.9999999999999993E-3</c:v>
                  </c:pt>
                  <c:pt idx="1">
                    <c:v>2E-3</c:v>
                  </c:pt>
                  <c:pt idx="2">
                    <c:v>1E-3</c:v>
                  </c:pt>
                  <c:pt idx="3">
                    <c:v>1E-3</c:v>
                  </c:pt>
                  <c:pt idx="4">
                    <c:v>1E-3</c:v>
                  </c:pt>
                  <c:pt idx="5">
                    <c:v>1E-3</c:v>
                  </c:pt>
                  <c:pt idx="6">
                    <c:v>2E-3</c:v>
                  </c:pt>
                  <c:pt idx="7">
                    <c:v>1E-3</c:v>
                  </c:pt>
                  <c:pt idx="8">
                    <c:v>1E-3</c:v>
                  </c:pt>
                  <c:pt idx="9">
                    <c:v>1E-3</c:v>
                  </c:pt>
                  <c:pt idx="10">
                    <c:v>1E-3</c:v>
                  </c:pt>
                  <c:pt idx="11">
                    <c:v>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Santona!$E$4:$E$23</c:f>
              <c:numCache>
                <c:formatCode>0.000</c:formatCode>
                <c:ptCount val="20"/>
                <c:pt idx="0">
                  <c:v>6.9000000000000006E-2</c:v>
                </c:pt>
                <c:pt idx="1">
                  <c:v>1.0999999999999999E-2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7.0000000000000001E-3</c:v>
                </c:pt>
                <c:pt idx="5">
                  <c:v>8.0000000000000002E-3</c:v>
                </c:pt>
                <c:pt idx="6">
                  <c:v>1.0999999999999999E-2</c:v>
                </c:pt>
                <c:pt idx="7">
                  <c:v>0.01</c:v>
                </c:pt>
                <c:pt idx="8">
                  <c:v>8.9999999999999993E-3</c:v>
                </c:pt>
                <c:pt idx="9">
                  <c:v>7.0000000000000001E-3</c:v>
                </c:pt>
                <c:pt idx="10">
                  <c:v>8.0000000000000002E-3</c:v>
                </c:pt>
                <c:pt idx="11">
                  <c:v>8.9999999999999993E-3</c:v>
                </c:pt>
              </c:numCache>
            </c:numRef>
          </c:xVal>
          <c:yVal>
            <c:numRef>
              <c:f>Santona!$D$4:$D$23</c:f>
              <c:numCache>
                <c:formatCode>General</c:formatCode>
                <c:ptCount val="20"/>
                <c:pt idx="0">
                  <c:v>-1</c:v>
                </c:pt>
                <c:pt idx="1">
                  <c:v>-6</c:v>
                </c:pt>
                <c:pt idx="2">
                  <c:v>-10</c:v>
                </c:pt>
                <c:pt idx="3">
                  <c:v>-14</c:v>
                </c:pt>
                <c:pt idx="4">
                  <c:v>-18</c:v>
                </c:pt>
                <c:pt idx="5">
                  <c:v>-24</c:v>
                </c:pt>
                <c:pt idx="6">
                  <c:v>-30</c:v>
                </c:pt>
                <c:pt idx="7">
                  <c:v>-36</c:v>
                </c:pt>
                <c:pt idx="8">
                  <c:v>-42</c:v>
                </c:pt>
                <c:pt idx="9">
                  <c:v>-48</c:v>
                </c:pt>
                <c:pt idx="10">
                  <c:v>-54</c:v>
                </c:pt>
                <c:pt idx="11">
                  <c:v>-60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DE-4ACE-8C28-1D3AF5F08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CCO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ln(</a:t>
            </a:r>
            <a:r>
              <a:rPr lang="es-ES" sz="10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210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Pb</a:t>
            </a:r>
            <a:r>
              <a:rPr lang="es-ES" sz="1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​ )</a:t>
            </a: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32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Cicero!$C$1</c:f>
              <c:strCache>
                <c:ptCount val="1"/>
                <c:pt idx="0">
                  <c:v>Cicero</c:v>
                </c:pt>
              </c:strCache>
            </c:strRef>
          </c:tx>
          <c:spPr>
            <a:ln w="19050" cap="rnd">
              <a:solidFill>
                <a:srgbClr val="9A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A0000"/>
              </a:solidFill>
              <a:ln w="19050">
                <a:solidFill>
                  <a:srgbClr val="9A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644981446284732"/>
                  <c:y val="0.16296453866711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Cicero!$F$4:$F$23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1.0000000000000002E-2</c:v>
                  </c:pt>
                  <c:pt idx="3">
                    <c:v>2.0000000000000004E-2</c:v>
                  </c:pt>
                  <c:pt idx="4">
                    <c:v>8.0000000000000002E-3</c:v>
                  </c:pt>
                  <c:pt idx="5">
                    <c:v>6.9999999999999993E-3</c:v>
                  </c:pt>
                  <c:pt idx="6">
                    <c:v>9.0000000000000011E-3</c:v>
                  </c:pt>
                  <c:pt idx="7">
                    <c:v>6.0000000000000001E-3</c:v>
                  </c:pt>
                  <c:pt idx="8">
                    <c:v>5.0000000000000001E-3</c:v>
                  </c:pt>
                  <c:pt idx="9">
                    <c:v>6.0000000000000001E-3</c:v>
                  </c:pt>
                  <c:pt idx="10">
                    <c:v>4.0000000000000001E-3</c:v>
                  </c:pt>
                  <c:pt idx="11">
                    <c:v>2E-3</c:v>
                  </c:pt>
                </c:numCache>
              </c:numRef>
            </c:plus>
            <c:minus>
              <c:numRef>
                <c:f>Cicero!$F$4:$F$23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1.0000000000000002E-2</c:v>
                  </c:pt>
                  <c:pt idx="3">
                    <c:v>2.0000000000000004E-2</c:v>
                  </c:pt>
                  <c:pt idx="4">
                    <c:v>8.0000000000000002E-3</c:v>
                  </c:pt>
                  <c:pt idx="5">
                    <c:v>6.9999999999999993E-3</c:v>
                  </c:pt>
                  <c:pt idx="6">
                    <c:v>9.0000000000000011E-3</c:v>
                  </c:pt>
                  <c:pt idx="7">
                    <c:v>6.0000000000000001E-3</c:v>
                  </c:pt>
                  <c:pt idx="8">
                    <c:v>5.0000000000000001E-3</c:v>
                  </c:pt>
                  <c:pt idx="9">
                    <c:v>6.0000000000000001E-3</c:v>
                  </c:pt>
                  <c:pt idx="10">
                    <c:v>4.0000000000000001E-3</c:v>
                  </c:pt>
                  <c:pt idx="11">
                    <c:v>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Cicero!$H$4:$H$23</c:f>
              <c:numCache>
                <c:formatCode>0.0000</c:formatCode>
                <c:ptCount val="20"/>
                <c:pt idx="0">
                  <c:v>-1.9379419794061363</c:v>
                </c:pt>
                <c:pt idx="1">
                  <c:v>-2.0874737133771002</c:v>
                </c:pt>
                <c:pt idx="2">
                  <c:v>-2.6036901857779675</c:v>
                </c:pt>
                <c:pt idx="3">
                  <c:v>-2.364460496712133</c:v>
                </c:pt>
                <c:pt idx="4">
                  <c:v>-3.0576076772720784</c:v>
                </c:pt>
                <c:pt idx="5">
                  <c:v>-3.2188758248682006</c:v>
                </c:pt>
                <c:pt idx="6">
                  <c:v>-2.9187712324178627</c:v>
                </c:pt>
                <c:pt idx="7">
                  <c:v>-3.6119184129778081</c:v>
                </c:pt>
                <c:pt idx="8">
                  <c:v>-3.9633162998156966</c:v>
                </c:pt>
                <c:pt idx="9">
                  <c:v>-3.5065578973199818</c:v>
                </c:pt>
                <c:pt idx="10">
                  <c:v>-4.4228486291941369</c:v>
                </c:pt>
              </c:numCache>
            </c:numRef>
          </c:xVal>
          <c:yVal>
            <c:numRef>
              <c:f>Cicero!$D$4:$D$23</c:f>
              <c:numCache>
                <c:formatCode>General</c:formatCode>
                <c:ptCount val="20"/>
                <c:pt idx="0">
                  <c:v>-1</c:v>
                </c:pt>
                <c:pt idx="1">
                  <c:v>-2</c:v>
                </c:pt>
                <c:pt idx="2">
                  <c:v>-4</c:v>
                </c:pt>
                <c:pt idx="3">
                  <c:v>-8</c:v>
                </c:pt>
                <c:pt idx="4">
                  <c:v>-12</c:v>
                </c:pt>
                <c:pt idx="5">
                  <c:v>-16</c:v>
                </c:pt>
                <c:pt idx="6">
                  <c:v>-20</c:v>
                </c:pt>
                <c:pt idx="7">
                  <c:v>-24</c:v>
                </c:pt>
                <c:pt idx="8">
                  <c:v>-28</c:v>
                </c:pt>
                <c:pt idx="9">
                  <c:v>-32</c:v>
                </c:pt>
                <c:pt idx="10">
                  <c:v>-38</c:v>
                </c:pt>
                <c:pt idx="11">
                  <c:v>-48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A5-4CEA-A74E-B6409BA24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CCO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s-ES" sz="10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210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Pb</a:t>
            </a:r>
            <a:r>
              <a:rPr lang="es-ES" sz="1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​ </a:t>
            </a: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32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Cicero!$C$1</c:f>
              <c:strCache>
                <c:ptCount val="1"/>
                <c:pt idx="0">
                  <c:v>Cicero</c:v>
                </c:pt>
              </c:strCache>
            </c:strRef>
          </c:tx>
          <c:spPr>
            <a:ln w="19050" cap="rnd">
              <a:solidFill>
                <a:srgbClr val="9A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A0000"/>
              </a:solidFill>
              <a:ln w="19050">
                <a:solidFill>
                  <a:srgbClr val="9A0000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Cicero!$F$4:$F$23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1.0000000000000002E-2</c:v>
                  </c:pt>
                  <c:pt idx="3">
                    <c:v>2.0000000000000004E-2</c:v>
                  </c:pt>
                  <c:pt idx="4">
                    <c:v>8.0000000000000002E-3</c:v>
                  </c:pt>
                  <c:pt idx="5">
                    <c:v>6.9999999999999993E-3</c:v>
                  </c:pt>
                  <c:pt idx="6">
                    <c:v>9.0000000000000011E-3</c:v>
                  </c:pt>
                  <c:pt idx="7">
                    <c:v>6.0000000000000001E-3</c:v>
                  </c:pt>
                  <c:pt idx="8">
                    <c:v>5.0000000000000001E-3</c:v>
                  </c:pt>
                  <c:pt idx="9">
                    <c:v>6.0000000000000001E-3</c:v>
                  </c:pt>
                  <c:pt idx="10">
                    <c:v>4.0000000000000001E-3</c:v>
                  </c:pt>
                  <c:pt idx="11">
                    <c:v>2E-3</c:v>
                  </c:pt>
                </c:numCache>
              </c:numRef>
            </c:plus>
            <c:minus>
              <c:numRef>
                <c:f>Cicero!$F$4:$F$23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1.0000000000000002E-2</c:v>
                  </c:pt>
                  <c:pt idx="3">
                    <c:v>2.0000000000000004E-2</c:v>
                  </c:pt>
                  <c:pt idx="4">
                    <c:v>8.0000000000000002E-3</c:v>
                  </c:pt>
                  <c:pt idx="5">
                    <c:v>6.9999999999999993E-3</c:v>
                  </c:pt>
                  <c:pt idx="6">
                    <c:v>9.0000000000000011E-3</c:v>
                  </c:pt>
                  <c:pt idx="7">
                    <c:v>6.0000000000000001E-3</c:v>
                  </c:pt>
                  <c:pt idx="8">
                    <c:v>5.0000000000000001E-3</c:v>
                  </c:pt>
                  <c:pt idx="9">
                    <c:v>6.0000000000000001E-3</c:v>
                  </c:pt>
                  <c:pt idx="10">
                    <c:v>4.0000000000000001E-3</c:v>
                  </c:pt>
                  <c:pt idx="11">
                    <c:v>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Cicero!$E$4:$E$23</c:f>
              <c:numCache>
                <c:formatCode>0.000</c:formatCode>
                <c:ptCount val="20"/>
                <c:pt idx="0">
                  <c:v>0.16</c:v>
                </c:pt>
                <c:pt idx="1">
                  <c:v>0.14000000000000001</c:v>
                </c:pt>
                <c:pt idx="2">
                  <c:v>0.09</c:v>
                </c:pt>
                <c:pt idx="3">
                  <c:v>0.11</c:v>
                </c:pt>
                <c:pt idx="4">
                  <c:v>6.3E-2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4.2999999999999997E-2</c:v>
                </c:pt>
                <c:pt idx="8">
                  <c:v>3.5000000000000003E-2</c:v>
                </c:pt>
                <c:pt idx="9">
                  <c:v>4.5999999999999999E-2</c:v>
                </c:pt>
                <c:pt idx="10">
                  <c:v>2.8000000000000001E-2</c:v>
                </c:pt>
                <c:pt idx="11">
                  <c:v>1.6E-2</c:v>
                </c:pt>
              </c:numCache>
            </c:numRef>
          </c:xVal>
          <c:yVal>
            <c:numRef>
              <c:f>Cicero!$D$4:$D$23</c:f>
              <c:numCache>
                <c:formatCode>General</c:formatCode>
                <c:ptCount val="20"/>
                <c:pt idx="0">
                  <c:v>-1</c:v>
                </c:pt>
                <c:pt idx="1">
                  <c:v>-2</c:v>
                </c:pt>
                <c:pt idx="2">
                  <c:v>-4</c:v>
                </c:pt>
                <c:pt idx="3">
                  <c:v>-8</c:v>
                </c:pt>
                <c:pt idx="4">
                  <c:v>-12</c:v>
                </c:pt>
                <c:pt idx="5">
                  <c:v>-16</c:v>
                </c:pt>
                <c:pt idx="6">
                  <c:v>-20</c:v>
                </c:pt>
                <c:pt idx="7">
                  <c:v>-24</c:v>
                </c:pt>
                <c:pt idx="8">
                  <c:v>-28</c:v>
                </c:pt>
                <c:pt idx="9">
                  <c:v>-32</c:v>
                </c:pt>
                <c:pt idx="10">
                  <c:v>-38</c:v>
                </c:pt>
                <c:pt idx="11">
                  <c:v>-48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1A-43FF-A461-7FDCB015E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STO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ln(</a:t>
            </a:r>
            <a:r>
              <a:rPr lang="es-ES" sz="10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210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Pb</a:t>
            </a:r>
            <a:r>
              <a:rPr lang="es-ES" sz="1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​ )</a:t>
            </a: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32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Santona!$C$1</c:f>
              <c:strCache>
                <c:ptCount val="1"/>
                <c:pt idx="0">
                  <c:v>Santona</c:v>
                </c:pt>
              </c:strCache>
            </c:strRef>
          </c:tx>
          <c:spPr>
            <a:ln w="19050" cap="rnd">
              <a:solidFill>
                <a:srgbClr val="B8B52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B52D"/>
              </a:solidFill>
              <a:ln w="19050">
                <a:solidFill>
                  <a:srgbClr val="B8B52D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072725284339458"/>
                  <c:y val="3.2557116154287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Santona!$F$4:$F$23</c:f>
                <c:numCache>
                  <c:formatCode>General</c:formatCode>
                  <c:ptCount val="20"/>
                  <c:pt idx="0">
                    <c:v>8.9999999999999993E-3</c:v>
                  </c:pt>
                  <c:pt idx="1">
                    <c:v>2E-3</c:v>
                  </c:pt>
                  <c:pt idx="2">
                    <c:v>1E-3</c:v>
                  </c:pt>
                  <c:pt idx="3">
                    <c:v>1E-3</c:v>
                  </c:pt>
                  <c:pt idx="4">
                    <c:v>1E-3</c:v>
                  </c:pt>
                  <c:pt idx="5">
                    <c:v>1E-3</c:v>
                  </c:pt>
                  <c:pt idx="6">
                    <c:v>2E-3</c:v>
                  </c:pt>
                  <c:pt idx="7">
                    <c:v>1E-3</c:v>
                  </c:pt>
                  <c:pt idx="8">
                    <c:v>1E-3</c:v>
                  </c:pt>
                  <c:pt idx="9">
                    <c:v>1E-3</c:v>
                  </c:pt>
                  <c:pt idx="10">
                    <c:v>1E-3</c:v>
                  </c:pt>
                  <c:pt idx="11">
                    <c:v>1E-3</c:v>
                  </c:pt>
                </c:numCache>
              </c:numRef>
            </c:plus>
            <c:minus>
              <c:numRef>
                <c:f>Santona!$F$4:$F$23</c:f>
                <c:numCache>
                  <c:formatCode>General</c:formatCode>
                  <c:ptCount val="20"/>
                  <c:pt idx="0">
                    <c:v>8.9999999999999993E-3</c:v>
                  </c:pt>
                  <c:pt idx="1">
                    <c:v>2E-3</c:v>
                  </c:pt>
                  <c:pt idx="2">
                    <c:v>1E-3</c:v>
                  </c:pt>
                  <c:pt idx="3">
                    <c:v>1E-3</c:v>
                  </c:pt>
                  <c:pt idx="4">
                    <c:v>1E-3</c:v>
                  </c:pt>
                  <c:pt idx="5">
                    <c:v>1E-3</c:v>
                  </c:pt>
                  <c:pt idx="6">
                    <c:v>2E-3</c:v>
                  </c:pt>
                  <c:pt idx="7">
                    <c:v>1E-3</c:v>
                  </c:pt>
                  <c:pt idx="8">
                    <c:v>1E-3</c:v>
                  </c:pt>
                  <c:pt idx="9">
                    <c:v>1E-3</c:v>
                  </c:pt>
                  <c:pt idx="10">
                    <c:v>1E-3</c:v>
                  </c:pt>
                  <c:pt idx="11">
                    <c:v>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Santona!$H$4:$H$23</c:f>
              <c:numCache>
                <c:formatCode>0.0000</c:formatCode>
                <c:ptCount val="20"/>
                <c:pt idx="0">
                  <c:v>-2.7968814148088259</c:v>
                </c:pt>
                <c:pt idx="1">
                  <c:v>-5.8091429903140277</c:v>
                </c:pt>
              </c:numCache>
            </c:numRef>
          </c:xVal>
          <c:yVal>
            <c:numRef>
              <c:f>Santona!$D$4:$D$23</c:f>
              <c:numCache>
                <c:formatCode>General</c:formatCode>
                <c:ptCount val="20"/>
                <c:pt idx="0">
                  <c:v>-1</c:v>
                </c:pt>
                <c:pt idx="1">
                  <c:v>-6</c:v>
                </c:pt>
                <c:pt idx="2">
                  <c:v>-10</c:v>
                </c:pt>
                <c:pt idx="3">
                  <c:v>-14</c:v>
                </c:pt>
                <c:pt idx="4">
                  <c:v>-18</c:v>
                </c:pt>
                <c:pt idx="5">
                  <c:v>-24</c:v>
                </c:pt>
                <c:pt idx="6">
                  <c:v>-30</c:v>
                </c:pt>
                <c:pt idx="7">
                  <c:v>-36</c:v>
                </c:pt>
                <c:pt idx="8">
                  <c:v>-42</c:v>
                </c:pt>
                <c:pt idx="9">
                  <c:v>-48</c:v>
                </c:pt>
                <c:pt idx="10">
                  <c:v>-54</c:v>
                </c:pt>
                <c:pt idx="11">
                  <c:v>-60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AE-49BF-A002-DA6B58798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STO</a:t>
            </a:r>
          </a:p>
          <a:p>
            <a:pPr>
              <a:defRPr/>
            </a:pPr>
            <a:r>
              <a:rPr lang="es-ES" sz="1000" b="0" i="0" u="none" strike="noStrike" baseline="30000"/>
              <a:t>210</a:t>
            </a:r>
            <a:r>
              <a:rPr lang="es-ES" sz="1000" b="0" i="0" u="none" strike="noStrike" baseline="0"/>
              <a:t>Pb</a:t>
            </a:r>
            <a:r>
              <a:rPr lang="es-ES" sz="1000" b="0" i="0" u="none" strike="noStrike" baseline="-25000"/>
              <a:t>ex</a:t>
            </a:r>
            <a:r>
              <a:rPr lang="es-ES" sz="1000" b="0" i="0" u="none" strike="noStrike" baseline="0"/>
              <a:t>​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Santona!$C$1</c:f>
              <c:strCache>
                <c:ptCount val="1"/>
                <c:pt idx="0">
                  <c:v>Santona</c:v>
                </c:pt>
              </c:strCache>
            </c:strRef>
          </c:tx>
          <c:spPr>
            <a:ln w="19050" cap="rnd">
              <a:solidFill>
                <a:srgbClr val="B8B52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B52D"/>
              </a:solidFill>
              <a:ln w="41275">
                <a:solidFill>
                  <a:srgbClr val="B8B52D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Santona!$F$4:$F$23</c:f>
                <c:numCache>
                  <c:formatCode>General</c:formatCode>
                  <c:ptCount val="20"/>
                  <c:pt idx="0">
                    <c:v>8.9999999999999993E-3</c:v>
                  </c:pt>
                  <c:pt idx="1">
                    <c:v>2E-3</c:v>
                  </c:pt>
                  <c:pt idx="2">
                    <c:v>1E-3</c:v>
                  </c:pt>
                  <c:pt idx="3">
                    <c:v>1E-3</c:v>
                  </c:pt>
                  <c:pt idx="4">
                    <c:v>1E-3</c:v>
                  </c:pt>
                  <c:pt idx="5">
                    <c:v>1E-3</c:v>
                  </c:pt>
                  <c:pt idx="6">
                    <c:v>2E-3</c:v>
                  </c:pt>
                  <c:pt idx="7">
                    <c:v>1E-3</c:v>
                  </c:pt>
                  <c:pt idx="8">
                    <c:v>1E-3</c:v>
                  </c:pt>
                  <c:pt idx="9">
                    <c:v>1E-3</c:v>
                  </c:pt>
                  <c:pt idx="10">
                    <c:v>1E-3</c:v>
                  </c:pt>
                  <c:pt idx="11">
                    <c:v>1E-3</c:v>
                  </c:pt>
                </c:numCache>
              </c:numRef>
            </c:plus>
            <c:minus>
              <c:numRef>
                <c:f>Santona!$F$4:$F$23</c:f>
                <c:numCache>
                  <c:formatCode>General</c:formatCode>
                  <c:ptCount val="20"/>
                  <c:pt idx="0">
                    <c:v>8.9999999999999993E-3</c:v>
                  </c:pt>
                  <c:pt idx="1">
                    <c:v>2E-3</c:v>
                  </c:pt>
                  <c:pt idx="2">
                    <c:v>1E-3</c:v>
                  </c:pt>
                  <c:pt idx="3">
                    <c:v>1E-3</c:v>
                  </c:pt>
                  <c:pt idx="4">
                    <c:v>1E-3</c:v>
                  </c:pt>
                  <c:pt idx="5">
                    <c:v>1E-3</c:v>
                  </c:pt>
                  <c:pt idx="6">
                    <c:v>2E-3</c:v>
                  </c:pt>
                  <c:pt idx="7">
                    <c:v>1E-3</c:v>
                  </c:pt>
                  <c:pt idx="8">
                    <c:v>1E-3</c:v>
                  </c:pt>
                  <c:pt idx="9">
                    <c:v>1E-3</c:v>
                  </c:pt>
                  <c:pt idx="10">
                    <c:v>1E-3</c:v>
                  </c:pt>
                  <c:pt idx="11">
                    <c:v>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Santona!$E$4:$E$23</c:f>
              <c:numCache>
                <c:formatCode>0.000</c:formatCode>
                <c:ptCount val="20"/>
                <c:pt idx="0">
                  <c:v>6.9000000000000006E-2</c:v>
                </c:pt>
                <c:pt idx="1">
                  <c:v>1.0999999999999999E-2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7.0000000000000001E-3</c:v>
                </c:pt>
                <c:pt idx="5">
                  <c:v>8.0000000000000002E-3</c:v>
                </c:pt>
                <c:pt idx="6">
                  <c:v>1.0999999999999999E-2</c:v>
                </c:pt>
                <c:pt idx="7">
                  <c:v>0.01</c:v>
                </c:pt>
                <c:pt idx="8">
                  <c:v>8.9999999999999993E-3</c:v>
                </c:pt>
                <c:pt idx="9">
                  <c:v>7.0000000000000001E-3</c:v>
                </c:pt>
                <c:pt idx="10">
                  <c:v>8.0000000000000002E-3</c:v>
                </c:pt>
                <c:pt idx="11">
                  <c:v>8.9999999999999993E-3</c:v>
                </c:pt>
              </c:numCache>
            </c:numRef>
          </c:xVal>
          <c:yVal>
            <c:numRef>
              <c:f>Santona!$D$4:$D$23</c:f>
              <c:numCache>
                <c:formatCode>General</c:formatCode>
                <c:ptCount val="20"/>
                <c:pt idx="0">
                  <c:v>-1</c:v>
                </c:pt>
                <c:pt idx="1">
                  <c:v>-6</c:v>
                </c:pt>
                <c:pt idx="2">
                  <c:v>-10</c:v>
                </c:pt>
                <c:pt idx="3">
                  <c:v>-14</c:v>
                </c:pt>
                <c:pt idx="4">
                  <c:v>-18</c:v>
                </c:pt>
                <c:pt idx="5">
                  <c:v>-24</c:v>
                </c:pt>
                <c:pt idx="6">
                  <c:v>-30</c:v>
                </c:pt>
                <c:pt idx="7">
                  <c:v>-36</c:v>
                </c:pt>
                <c:pt idx="8">
                  <c:v>-42</c:v>
                </c:pt>
                <c:pt idx="9">
                  <c:v>-48</c:v>
                </c:pt>
                <c:pt idx="10">
                  <c:v>-54</c:v>
                </c:pt>
                <c:pt idx="11">
                  <c:v>-60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21-4662-8D02-16454EE7A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CLR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ln(</a:t>
            </a:r>
            <a:r>
              <a:rPr lang="es-ES" sz="10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210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Pb</a:t>
            </a:r>
            <a:r>
              <a:rPr lang="es-ES" sz="1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​ )</a:t>
            </a: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32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Colindres!$C$1</c:f>
              <c:strCache>
                <c:ptCount val="1"/>
                <c:pt idx="0">
                  <c:v>Colindres</c:v>
                </c:pt>
              </c:strCache>
            </c:strRef>
          </c:tx>
          <c:spPr>
            <a:ln w="19050" cap="rnd">
              <a:solidFill>
                <a:srgbClr val="1D8F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D8F8C"/>
              </a:solidFill>
              <a:ln w="19050">
                <a:solidFill>
                  <a:srgbClr val="1D8F8C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502832835550728"/>
                  <c:y val="0.269842387418157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Colindres!$F$4:$F$23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2.0000000000000004E-2</c:v>
                  </c:pt>
                  <c:pt idx="3">
                    <c:v>1.0000000000000002E-2</c:v>
                  </c:pt>
                  <c:pt idx="4">
                    <c:v>1.0000000000000002E-2</c:v>
                  </c:pt>
                  <c:pt idx="5">
                    <c:v>1.0000000000000002E-2</c:v>
                  </c:pt>
                  <c:pt idx="6">
                    <c:v>1.0000000000000002E-2</c:v>
                  </c:pt>
                  <c:pt idx="7">
                    <c:v>1.0000000000000002E-2</c:v>
                  </c:pt>
                  <c:pt idx="8">
                    <c:v>6.0000000000000001E-3</c:v>
                  </c:pt>
                  <c:pt idx="9">
                    <c:v>5.0000000000000001E-3</c:v>
                  </c:pt>
                  <c:pt idx="10">
                    <c:v>5.0000000000000001E-3</c:v>
                  </c:pt>
                  <c:pt idx="11">
                    <c:v>2E-3</c:v>
                  </c:pt>
                </c:numCache>
              </c:numRef>
            </c:plus>
            <c:minus>
              <c:numRef>
                <c:f>Colindres!$F$4:$F$23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2.0000000000000004E-2</c:v>
                  </c:pt>
                  <c:pt idx="3">
                    <c:v>1.0000000000000002E-2</c:v>
                  </c:pt>
                  <c:pt idx="4">
                    <c:v>1.0000000000000002E-2</c:v>
                  </c:pt>
                  <c:pt idx="5">
                    <c:v>1.0000000000000002E-2</c:v>
                  </c:pt>
                  <c:pt idx="6">
                    <c:v>1.0000000000000002E-2</c:v>
                  </c:pt>
                  <c:pt idx="7">
                    <c:v>1.0000000000000002E-2</c:v>
                  </c:pt>
                  <c:pt idx="8">
                    <c:v>6.0000000000000001E-3</c:v>
                  </c:pt>
                  <c:pt idx="9">
                    <c:v>5.0000000000000001E-3</c:v>
                  </c:pt>
                  <c:pt idx="10">
                    <c:v>5.0000000000000001E-3</c:v>
                  </c:pt>
                  <c:pt idx="11">
                    <c:v>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Colindres!$H$4:$H$23</c:f>
              <c:numCache>
                <c:formatCode>0.0000</c:formatCode>
                <c:ptCount val="20"/>
                <c:pt idx="0">
                  <c:v>-2.2537949288246137</c:v>
                </c:pt>
                <c:pt idx="1">
                  <c:v>-2.0794415416798357</c:v>
                </c:pt>
                <c:pt idx="2">
                  <c:v>-2.1628231506188871</c:v>
                </c:pt>
                <c:pt idx="3">
                  <c:v>-2.353878387381596</c:v>
                </c:pt>
                <c:pt idx="4">
                  <c:v>-2.353878387381596</c:v>
                </c:pt>
                <c:pt idx="5">
                  <c:v>-2.4651040224918206</c:v>
                </c:pt>
                <c:pt idx="6">
                  <c:v>-2.5902671654458267</c:v>
                </c:pt>
                <c:pt idx="7">
                  <c:v>-2.9004220937496661</c:v>
                </c:pt>
                <c:pt idx="8">
                  <c:v>-3.5404594489956631</c:v>
                </c:pt>
                <c:pt idx="9">
                  <c:v>-3.8632328412587142</c:v>
                </c:pt>
                <c:pt idx="10">
                  <c:v>-3.8167128256238212</c:v>
                </c:pt>
              </c:numCache>
            </c:numRef>
          </c:xVal>
          <c:yVal>
            <c:numRef>
              <c:f>Colindres!$D$4:$D$23</c:f>
              <c:numCache>
                <c:formatCode>General</c:formatCode>
                <c:ptCount val="20"/>
                <c:pt idx="0">
                  <c:v>-1</c:v>
                </c:pt>
                <c:pt idx="1">
                  <c:v>-3</c:v>
                </c:pt>
                <c:pt idx="2">
                  <c:v>-5</c:v>
                </c:pt>
                <c:pt idx="3">
                  <c:v>-9</c:v>
                </c:pt>
                <c:pt idx="4">
                  <c:v>-13</c:v>
                </c:pt>
                <c:pt idx="5">
                  <c:v>-17</c:v>
                </c:pt>
                <c:pt idx="6">
                  <c:v>-21</c:v>
                </c:pt>
                <c:pt idx="7">
                  <c:v>-25</c:v>
                </c:pt>
                <c:pt idx="8">
                  <c:v>-29</c:v>
                </c:pt>
                <c:pt idx="9">
                  <c:v>-33</c:v>
                </c:pt>
                <c:pt idx="10">
                  <c:v>-39</c:v>
                </c:pt>
                <c:pt idx="11">
                  <c:v>-49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8E-41D9-B576-DB07EB143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CLR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s-ES" sz="10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210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Pb</a:t>
            </a:r>
            <a:r>
              <a:rPr lang="es-ES" sz="1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</a:t>
            </a:r>
            <a:r>
              <a:rPr lang="es-E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​ </a:t>
            </a: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32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Colindres!$C$1</c:f>
              <c:strCache>
                <c:ptCount val="1"/>
                <c:pt idx="0">
                  <c:v>Colindres</c:v>
                </c:pt>
              </c:strCache>
            </c:strRef>
          </c:tx>
          <c:spPr>
            <a:ln w="19050" cap="rnd">
              <a:solidFill>
                <a:srgbClr val="1D8F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D8F8C"/>
              </a:solidFill>
              <a:ln w="19050">
                <a:solidFill>
                  <a:srgbClr val="1D8F8C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Colindres!$F$4:$F$23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2.0000000000000004E-2</c:v>
                  </c:pt>
                  <c:pt idx="3">
                    <c:v>1.0000000000000002E-2</c:v>
                  </c:pt>
                  <c:pt idx="4">
                    <c:v>1.0000000000000002E-2</c:v>
                  </c:pt>
                  <c:pt idx="5">
                    <c:v>1.0000000000000002E-2</c:v>
                  </c:pt>
                  <c:pt idx="6">
                    <c:v>1.0000000000000002E-2</c:v>
                  </c:pt>
                  <c:pt idx="7">
                    <c:v>1.0000000000000002E-2</c:v>
                  </c:pt>
                  <c:pt idx="8">
                    <c:v>6.0000000000000001E-3</c:v>
                  </c:pt>
                  <c:pt idx="9">
                    <c:v>5.0000000000000001E-3</c:v>
                  </c:pt>
                  <c:pt idx="10">
                    <c:v>5.0000000000000001E-3</c:v>
                  </c:pt>
                  <c:pt idx="11">
                    <c:v>2E-3</c:v>
                  </c:pt>
                </c:numCache>
              </c:numRef>
            </c:plus>
            <c:minus>
              <c:numRef>
                <c:f>Colindres!$F$4:$F$23</c:f>
                <c:numCache>
                  <c:formatCode>General</c:formatCode>
                  <c:ptCount val="20"/>
                  <c:pt idx="0">
                    <c:v>2.0000000000000004E-2</c:v>
                  </c:pt>
                  <c:pt idx="1">
                    <c:v>2.0000000000000004E-2</c:v>
                  </c:pt>
                  <c:pt idx="2">
                    <c:v>2.0000000000000004E-2</c:v>
                  </c:pt>
                  <c:pt idx="3">
                    <c:v>1.0000000000000002E-2</c:v>
                  </c:pt>
                  <c:pt idx="4">
                    <c:v>1.0000000000000002E-2</c:v>
                  </c:pt>
                  <c:pt idx="5">
                    <c:v>1.0000000000000002E-2</c:v>
                  </c:pt>
                  <c:pt idx="6">
                    <c:v>1.0000000000000002E-2</c:v>
                  </c:pt>
                  <c:pt idx="7">
                    <c:v>1.0000000000000002E-2</c:v>
                  </c:pt>
                  <c:pt idx="8">
                    <c:v>6.0000000000000001E-3</c:v>
                  </c:pt>
                  <c:pt idx="9">
                    <c:v>5.0000000000000001E-3</c:v>
                  </c:pt>
                  <c:pt idx="10">
                    <c:v>5.0000000000000001E-3</c:v>
                  </c:pt>
                  <c:pt idx="11">
                    <c:v>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Colindres!$E$4:$E$23</c:f>
              <c:numCache>
                <c:formatCode>0.000</c:formatCode>
                <c:ptCount val="20"/>
                <c:pt idx="0">
                  <c:v>0.12</c:v>
                </c:pt>
                <c:pt idx="1">
                  <c:v>0.14000000000000001</c:v>
                </c:pt>
                <c:pt idx="2">
                  <c:v>0.13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0.09</c:v>
                </c:pt>
                <c:pt idx="7">
                  <c:v>7.0000000000000007E-2</c:v>
                </c:pt>
                <c:pt idx="8">
                  <c:v>4.3999999999999997E-2</c:v>
                </c:pt>
                <c:pt idx="9">
                  <c:v>3.5999999999999997E-2</c:v>
                </c:pt>
                <c:pt idx="10">
                  <c:v>3.6999999999999998E-2</c:v>
                </c:pt>
                <c:pt idx="11">
                  <c:v>1.4999999999999999E-2</c:v>
                </c:pt>
              </c:numCache>
            </c:numRef>
          </c:xVal>
          <c:yVal>
            <c:numRef>
              <c:f>Colindres!$D$4:$D$23</c:f>
              <c:numCache>
                <c:formatCode>General</c:formatCode>
                <c:ptCount val="20"/>
                <c:pt idx="0">
                  <c:v>-1</c:v>
                </c:pt>
                <c:pt idx="1">
                  <c:v>-3</c:v>
                </c:pt>
                <c:pt idx="2">
                  <c:v>-5</c:v>
                </c:pt>
                <c:pt idx="3">
                  <c:v>-9</c:v>
                </c:pt>
                <c:pt idx="4">
                  <c:v>-13</c:v>
                </c:pt>
                <c:pt idx="5">
                  <c:v>-17</c:v>
                </c:pt>
                <c:pt idx="6">
                  <c:v>-21</c:v>
                </c:pt>
                <c:pt idx="7">
                  <c:v>-25</c:v>
                </c:pt>
                <c:pt idx="8">
                  <c:v>-29</c:v>
                </c:pt>
                <c:pt idx="9">
                  <c:v>-33</c:v>
                </c:pt>
                <c:pt idx="10">
                  <c:v>-39</c:v>
                </c:pt>
                <c:pt idx="11">
                  <c:v>-49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C6-4EBD-8A46-DEA66D86A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37360"/>
        <c:axId val="853337840"/>
      </c:scatterChart>
      <c:valAx>
        <c:axId val="853337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840"/>
        <c:crosses val="autoZero"/>
        <c:crossBetween val="midCat"/>
      </c:valAx>
      <c:valAx>
        <c:axId val="853337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8533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2</xdr:row>
      <xdr:rowOff>0</xdr:rowOff>
    </xdr:from>
    <xdr:to>
      <xdr:col>17</xdr:col>
      <xdr:colOff>361950</xdr:colOff>
      <xdr:row>22</xdr:row>
      <xdr:rowOff>195264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ADE1A-1617-4C00-BFDC-DDBBF7158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2</xdr:row>
      <xdr:rowOff>9525</xdr:rowOff>
    </xdr:from>
    <xdr:to>
      <xdr:col>12</xdr:col>
      <xdr:colOff>552450</xdr:colOff>
      <xdr:row>23</xdr:row>
      <xdr:rowOff>4764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FB79A7-BF0E-442D-AD8D-7E23040FE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2</xdr:row>
      <xdr:rowOff>0</xdr:rowOff>
    </xdr:from>
    <xdr:to>
      <xdr:col>17</xdr:col>
      <xdr:colOff>361950</xdr:colOff>
      <xdr:row>22</xdr:row>
      <xdr:rowOff>195264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EE950-A18B-40B8-B388-674E03441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2</xdr:row>
      <xdr:rowOff>9525</xdr:rowOff>
    </xdr:from>
    <xdr:to>
      <xdr:col>12</xdr:col>
      <xdr:colOff>552450</xdr:colOff>
      <xdr:row>23</xdr:row>
      <xdr:rowOff>4764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16145-FBCD-4DD1-94A8-64C3FD546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2</xdr:row>
      <xdr:rowOff>0</xdr:rowOff>
    </xdr:from>
    <xdr:to>
      <xdr:col>17</xdr:col>
      <xdr:colOff>361950</xdr:colOff>
      <xdr:row>22</xdr:row>
      <xdr:rowOff>195264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F8BF3-70A0-418D-A467-C0D17EC61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2</xdr:row>
      <xdr:rowOff>9525</xdr:rowOff>
    </xdr:from>
    <xdr:to>
      <xdr:col>12</xdr:col>
      <xdr:colOff>552450</xdr:colOff>
      <xdr:row>23</xdr:row>
      <xdr:rowOff>4764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5BE22D-E805-4955-86A7-0B3AD2FA3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22</xdr:row>
      <xdr:rowOff>0</xdr:rowOff>
    </xdr:from>
    <xdr:to>
      <xdr:col>7</xdr:col>
      <xdr:colOff>285750</xdr:colOff>
      <xdr:row>43</xdr:row>
      <xdr:rowOff>4764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47FD7-0186-4589-801F-DAB6D1BB3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9525</xdr:rowOff>
    </xdr:from>
    <xdr:to>
      <xdr:col>3</xdr:col>
      <xdr:colOff>476250</xdr:colOff>
      <xdr:row>43</xdr:row>
      <xdr:rowOff>14289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56878E-387A-43AB-AB69-B0FFF7E57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0</xdr:row>
      <xdr:rowOff>0</xdr:rowOff>
    </xdr:from>
    <xdr:to>
      <xdr:col>7</xdr:col>
      <xdr:colOff>266700</xdr:colOff>
      <xdr:row>21</xdr:row>
      <xdr:rowOff>4764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F84A09A-30F6-4E72-984B-1D0F81685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9525</xdr:rowOff>
    </xdr:from>
    <xdr:to>
      <xdr:col>3</xdr:col>
      <xdr:colOff>476250</xdr:colOff>
      <xdr:row>21</xdr:row>
      <xdr:rowOff>14289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08B94DF-F25F-448C-9A24-2635DD116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571500</xdr:colOff>
      <xdr:row>44</xdr:row>
      <xdr:rowOff>0</xdr:rowOff>
    </xdr:from>
    <xdr:to>
      <xdr:col>7</xdr:col>
      <xdr:colOff>285750</xdr:colOff>
      <xdr:row>65</xdr:row>
      <xdr:rowOff>4764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0A25885-473A-42F9-9AA4-9E4C10C4F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44</xdr:row>
      <xdr:rowOff>19050</xdr:rowOff>
    </xdr:from>
    <xdr:to>
      <xdr:col>3</xdr:col>
      <xdr:colOff>476250</xdr:colOff>
      <xdr:row>65</xdr:row>
      <xdr:rowOff>23814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872D9831-5E73-470A-8DCF-883BD674A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D967-5502-4973-B71E-8E70C227FB57}">
  <sheetPr>
    <tabColor theme="9"/>
    <pageSetUpPr fitToPage="1"/>
  </sheetPr>
  <dimension ref="A1:R51"/>
  <sheetViews>
    <sheetView tabSelected="1" topLeftCell="F1" workbookViewId="0">
      <selection activeCell="Q27" sqref="Q27:R28"/>
    </sheetView>
  </sheetViews>
  <sheetFormatPr baseColWidth="10" defaultColWidth="9.1796875" defaultRowHeight="14.5" x14ac:dyDescent="0.35"/>
  <cols>
    <col min="1" max="1" width="4.54296875" customWidth="1"/>
    <col min="2" max="2" width="11.7265625" customWidth="1"/>
    <col min="3" max="3" width="18" customWidth="1"/>
    <col min="4" max="8" width="10.7265625" customWidth="1"/>
  </cols>
  <sheetData>
    <row r="1" spans="1:8" ht="15" thickBot="1" x14ac:dyDescent="0.4">
      <c r="A1" s="6" t="s">
        <v>17</v>
      </c>
      <c r="B1" s="7"/>
      <c r="C1" s="26" t="s">
        <v>22</v>
      </c>
    </row>
    <row r="2" spans="1:8" ht="15" thickBot="1" x14ac:dyDescent="0.4"/>
    <row r="3" spans="1:8" s="1" customFormat="1" x14ac:dyDescent="0.35">
      <c r="A3" s="8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10" t="s">
        <v>6</v>
      </c>
    </row>
    <row r="4" spans="1:8" x14ac:dyDescent="0.35">
      <c r="A4" s="11">
        <v>1</v>
      </c>
      <c r="B4" s="32" t="s">
        <v>23</v>
      </c>
      <c r="C4" s="33" t="s">
        <v>24</v>
      </c>
      <c r="D4" s="30">
        <v>-1</v>
      </c>
      <c r="E4" s="34">
        <v>0.16</v>
      </c>
      <c r="F4" s="34">
        <v>2.0000000000000004E-2</v>
      </c>
      <c r="G4" s="5">
        <f>E4-0.016</f>
        <v>0.14400000000000002</v>
      </c>
      <c r="H4" s="12">
        <f>LN(G4)</f>
        <v>-1.9379419794061363</v>
      </c>
    </row>
    <row r="5" spans="1:8" x14ac:dyDescent="0.35">
      <c r="A5" s="11">
        <v>2</v>
      </c>
      <c r="B5" s="32" t="s">
        <v>25</v>
      </c>
      <c r="C5" s="33" t="s">
        <v>26</v>
      </c>
      <c r="D5" s="30">
        <v>-2</v>
      </c>
      <c r="E5" s="34">
        <v>0.14000000000000001</v>
      </c>
      <c r="F5" s="34">
        <v>2.0000000000000004E-2</v>
      </c>
      <c r="G5" s="5">
        <f t="shared" ref="G5:G15" si="0">E5-0.016</f>
        <v>0.12400000000000001</v>
      </c>
      <c r="H5" s="12">
        <f t="shared" ref="H5:H14" si="1">LN(G5)</f>
        <v>-2.0874737133771002</v>
      </c>
    </row>
    <row r="6" spans="1:8" x14ac:dyDescent="0.35">
      <c r="A6" s="11">
        <v>3</v>
      </c>
      <c r="B6" s="32" t="s">
        <v>27</v>
      </c>
      <c r="C6" s="33" t="s">
        <v>28</v>
      </c>
      <c r="D6" s="30">
        <v>-4</v>
      </c>
      <c r="E6" s="34">
        <v>0.09</v>
      </c>
      <c r="F6" s="34">
        <v>1.0000000000000002E-2</v>
      </c>
      <c r="G6" s="5">
        <f t="shared" si="0"/>
        <v>7.3999999999999996E-2</v>
      </c>
      <c r="H6" s="12">
        <f t="shared" si="1"/>
        <v>-2.6036901857779675</v>
      </c>
    </row>
    <row r="7" spans="1:8" x14ac:dyDescent="0.35">
      <c r="A7" s="11">
        <v>4</v>
      </c>
      <c r="B7" s="32" t="s">
        <v>29</v>
      </c>
      <c r="C7" s="33" t="s">
        <v>30</v>
      </c>
      <c r="D7" s="30">
        <v>-8</v>
      </c>
      <c r="E7" s="34">
        <v>0.11</v>
      </c>
      <c r="F7" s="34">
        <v>2.0000000000000004E-2</v>
      </c>
      <c r="G7" s="5">
        <f t="shared" si="0"/>
        <v>9.4E-2</v>
      </c>
      <c r="H7" s="12">
        <f t="shared" si="1"/>
        <v>-2.364460496712133</v>
      </c>
    </row>
    <row r="8" spans="1:8" x14ac:dyDescent="0.35">
      <c r="A8" s="11">
        <v>5</v>
      </c>
      <c r="B8" s="32" t="s">
        <v>31</v>
      </c>
      <c r="C8" s="33" t="s">
        <v>32</v>
      </c>
      <c r="D8" s="30">
        <v>-12</v>
      </c>
      <c r="E8" s="34">
        <v>6.3E-2</v>
      </c>
      <c r="F8" s="34">
        <v>8.0000000000000002E-3</v>
      </c>
      <c r="G8" s="5">
        <f t="shared" si="0"/>
        <v>4.7E-2</v>
      </c>
      <c r="H8" s="12">
        <f t="shared" si="1"/>
        <v>-3.0576076772720784</v>
      </c>
    </row>
    <row r="9" spans="1:8" x14ac:dyDescent="0.35">
      <c r="A9" s="11">
        <v>6</v>
      </c>
      <c r="B9" s="32" t="s">
        <v>33</v>
      </c>
      <c r="C9" s="33" t="s">
        <v>34</v>
      </c>
      <c r="D9" s="4">
        <v>-16</v>
      </c>
      <c r="E9" s="35">
        <v>5.6000000000000001E-2</v>
      </c>
      <c r="F9" s="35">
        <v>6.9999999999999993E-3</v>
      </c>
      <c r="G9" s="5">
        <f t="shared" si="0"/>
        <v>0.04</v>
      </c>
      <c r="H9" s="12">
        <f t="shared" si="1"/>
        <v>-3.2188758248682006</v>
      </c>
    </row>
    <row r="10" spans="1:8" x14ac:dyDescent="0.35">
      <c r="A10" s="11">
        <v>7</v>
      </c>
      <c r="B10" s="32" t="s">
        <v>35</v>
      </c>
      <c r="C10" s="33" t="s">
        <v>36</v>
      </c>
      <c r="D10" s="4">
        <v>-20</v>
      </c>
      <c r="E10" s="35">
        <v>7.0000000000000007E-2</v>
      </c>
      <c r="F10" s="35">
        <v>9.0000000000000011E-3</v>
      </c>
      <c r="G10" s="5">
        <f t="shared" si="0"/>
        <v>5.4000000000000006E-2</v>
      </c>
      <c r="H10" s="12">
        <f t="shared" si="1"/>
        <v>-2.9187712324178627</v>
      </c>
    </row>
    <row r="11" spans="1:8" x14ac:dyDescent="0.35">
      <c r="A11" s="11">
        <v>8</v>
      </c>
      <c r="B11" s="32" t="s">
        <v>37</v>
      </c>
      <c r="C11" s="33" t="s">
        <v>38</v>
      </c>
      <c r="D11" s="4">
        <v>-24</v>
      </c>
      <c r="E11" s="35">
        <v>4.2999999999999997E-2</v>
      </c>
      <c r="F11" s="35">
        <v>6.0000000000000001E-3</v>
      </c>
      <c r="G11" s="5">
        <f t="shared" si="0"/>
        <v>2.6999999999999996E-2</v>
      </c>
      <c r="H11" s="12">
        <f t="shared" si="1"/>
        <v>-3.6119184129778081</v>
      </c>
    </row>
    <row r="12" spans="1:8" x14ac:dyDescent="0.35">
      <c r="A12" s="11">
        <v>9</v>
      </c>
      <c r="B12" s="32" t="s">
        <v>39</v>
      </c>
      <c r="C12" s="33" t="s">
        <v>40</v>
      </c>
      <c r="D12" s="4">
        <v>-28</v>
      </c>
      <c r="E12" s="35">
        <v>3.5000000000000003E-2</v>
      </c>
      <c r="F12" s="35">
        <v>5.0000000000000001E-3</v>
      </c>
      <c r="G12" s="5">
        <f t="shared" si="0"/>
        <v>1.9000000000000003E-2</v>
      </c>
      <c r="H12" s="12">
        <f t="shared" si="1"/>
        <v>-3.9633162998156966</v>
      </c>
    </row>
    <row r="13" spans="1:8" x14ac:dyDescent="0.35">
      <c r="A13" s="11">
        <v>10</v>
      </c>
      <c r="B13" s="32" t="s">
        <v>41</v>
      </c>
      <c r="C13" s="33" t="s">
        <v>42</v>
      </c>
      <c r="D13" s="4">
        <v>-32</v>
      </c>
      <c r="E13" s="35">
        <v>4.5999999999999999E-2</v>
      </c>
      <c r="F13" s="35">
        <v>6.0000000000000001E-3</v>
      </c>
      <c r="G13" s="5">
        <f t="shared" si="0"/>
        <v>0.03</v>
      </c>
      <c r="H13" s="12">
        <f t="shared" si="1"/>
        <v>-3.5065578973199818</v>
      </c>
    </row>
    <row r="14" spans="1:8" x14ac:dyDescent="0.35">
      <c r="A14" s="11">
        <v>11</v>
      </c>
      <c r="B14" s="32" t="s">
        <v>43</v>
      </c>
      <c r="C14" s="33" t="s">
        <v>44</v>
      </c>
      <c r="D14" s="4">
        <v>-38</v>
      </c>
      <c r="E14" s="35">
        <v>2.8000000000000001E-2</v>
      </c>
      <c r="F14" s="35">
        <v>4.0000000000000001E-3</v>
      </c>
      <c r="G14" s="5">
        <f t="shared" si="0"/>
        <v>1.2E-2</v>
      </c>
      <c r="H14" s="12">
        <f t="shared" si="1"/>
        <v>-4.4228486291941369</v>
      </c>
    </row>
    <row r="15" spans="1:8" x14ac:dyDescent="0.35">
      <c r="A15" s="11">
        <v>12</v>
      </c>
      <c r="B15" s="32" t="s">
        <v>45</v>
      </c>
      <c r="C15" s="33" t="s">
        <v>46</v>
      </c>
      <c r="D15" s="4">
        <v>-48</v>
      </c>
      <c r="E15" s="35">
        <v>1.6E-2</v>
      </c>
      <c r="F15" s="35">
        <v>2E-3</v>
      </c>
      <c r="G15" s="5">
        <f t="shared" si="0"/>
        <v>0</v>
      </c>
      <c r="H15" s="12"/>
    </row>
    <row r="16" spans="1:8" x14ac:dyDescent="0.35">
      <c r="A16" s="11">
        <v>13</v>
      </c>
      <c r="B16" s="31"/>
      <c r="C16" s="31"/>
      <c r="D16" s="4"/>
      <c r="E16" s="5"/>
      <c r="F16" s="5"/>
      <c r="G16" s="5"/>
      <c r="H16" s="12"/>
    </row>
    <row r="17" spans="1:18" x14ac:dyDescent="0.35">
      <c r="A17" s="11">
        <v>14</v>
      </c>
      <c r="B17" s="31"/>
      <c r="C17" s="31"/>
      <c r="D17" s="4"/>
      <c r="E17" s="5"/>
      <c r="F17" s="5"/>
      <c r="G17" s="5"/>
      <c r="H17" s="12"/>
    </row>
    <row r="18" spans="1:18" x14ac:dyDescent="0.35">
      <c r="A18" s="11">
        <v>15</v>
      </c>
      <c r="B18" s="31"/>
      <c r="C18" s="31"/>
      <c r="D18" s="4"/>
      <c r="E18" s="5"/>
      <c r="F18" s="5"/>
      <c r="G18" s="5"/>
      <c r="H18" s="12"/>
    </row>
    <row r="19" spans="1:18" x14ac:dyDescent="0.35">
      <c r="A19" s="11">
        <v>16</v>
      </c>
      <c r="B19" s="31"/>
      <c r="C19" s="31"/>
      <c r="D19" s="4"/>
      <c r="E19" s="5"/>
      <c r="F19" s="5"/>
      <c r="G19" s="5"/>
      <c r="H19" s="12"/>
    </row>
    <row r="20" spans="1:18" x14ac:dyDescent="0.35">
      <c r="A20" s="11">
        <v>17</v>
      </c>
      <c r="B20" s="31"/>
      <c r="C20" s="31"/>
      <c r="D20" s="4"/>
      <c r="E20" s="5"/>
      <c r="F20" s="5"/>
      <c r="G20" s="5"/>
      <c r="H20" s="12"/>
    </row>
    <row r="21" spans="1:18" x14ac:dyDescent="0.35">
      <c r="A21" s="11">
        <v>18</v>
      </c>
      <c r="B21" s="31"/>
      <c r="C21" s="31"/>
      <c r="D21" s="4"/>
      <c r="E21" s="5"/>
      <c r="F21" s="5"/>
      <c r="G21" s="5"/>
      <c r="H21" s="12"/>
    </row>
    <row r="22" spans="1:18" x14ac:dyDescent="0.35">
      <c r="A22" s="11">
        <v>19</v>
      </c>
      <c r="B22" s="31"/>
      <c r="C22" s="31"/>
      <c r="D22" s="4"/>
      <c r="E22" s="5"/>
      <c r="F22" s="5"/>
      <c r="G22" s="5"/>
      <c r="H22" s="12"/>
    </row>
    <row r="23" spans="1:18" ht="15" thickBot="1" x14ac:dyDescent="0.4">
      <c r="A23" s="13">
        <v>20</v>
      </c>
      <c r="B23" s="14"/>
      <c r="C23" s="14"/>
      <c r="D23" s="14"/>
      <c r="E23" s="14"/>
      <c r="F23" s="14"/>
      <c r="G23" s="28"/>
      <c r="H23" s="29"/>
    </row>
    <row r="24" spans="1:18" ht="15" thickBot="1" x14ac:dyDescent="0.4"/>
    <row r="25" spans="1:18" ht="15" thickBot="1" x14ac:dyDescent="0.4">
      <c r="B25" s="6" t="s">
        <v>8</v>
      </c>
      <c r="C25" s="7"/>
      <c r="D25" s="7"/>
      <c r="E25" s="27">
        <f>E15</f>
        <v>1.6E-2</v>
      </c>
    </row>
    <row r="26" spans="1:18" ht="15" thickBot="1" x14ac:dyDescent="0.4"/>
    <row r="27" spans="1:18" ht="15" thickBot="1" x14ac:dyDescent="0.4">
      <c r="B27" s="1" t="s">
        <v>47</v>
      </c>
      <c r="H27" s="1" t="s">
        <v>7</v>
      </c>
      <c r="I27" s="1"/>
      <c r="J27" s="1">
        <f>LN(2)/22.3</f>
        <v>3.1082833208966154E-2</v>
      </c>
      <c r="M27" s="20" t="s">
        <v>21</v>
      </c>
      <c r="N27" s="15"/>
      <c r="O27" s="16"/>
      <c r="Q27">
        <v>5</v>
      </c>
      <c r="R27">
        <f>2023.75-(5/O28)</f>
        <v>2014.3807830783724</v>
      </c>
    </row>
    <row r="28" spans="1:18" x14ac:dyDescent="0.35">
      <c r="B28" s="2"/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  <c r="H28" s="2" t="s">
        <v>14</v>
      </c>
      <c r="I28" s="2" t="s">
        <v>15</v>
      </c>
      <c r="J28" s="2" t="s">
        <v>16</v>
      </c>
      <c r="M28" s="21" t="s">
        <v>20</v>
      </c>
      <c r="N28" s="18"/>
      <c r="O28" s="22">
        <f>J27/C30</f>
        <v>0.53366252930467606</v>
      </c>
      <c r="Q28">
        <v>45</v>
      </c>
      <c r="R28">
        <f>2023.75-(45/O28)</f>
        <v>1939.4270477053508</v>
      </c>
    </row>
    <row r="29" spans="1:18" x14ac:dyDescent="0.35">
      <c r="C29" s="36">
        <v>-2.08347777225607</v>
      </c>
      <c r="D29" s="36">
        <v>0.14278097153156669</v>
      </c>
      <c r="E29" s="36">
        <v>-14.592124916277411</v>
      </c>
      <c r="F29" s="36">
        <v>1.4329515582450308E-7</v>
      </c>
      <c r="G29" s="36">
        <v>-2.4064707697174903</v>
      </c>
      <c r="H29" s="36">
        <v>-1.7604847747946497</v>
      </c>
      <c r="I29" s="36">
        <v>-2.4064707697174903</v>
      </c>
      <c r="J29" s="36">
        <v>-1.7604847747946497</v>
      </c>
      <c r="M29" s="23" t="s">
        <v>18</v>
      </c>
      <c r="N29" s="19"/>
      <c r="O29" s="12">
        <f>J27/G30</f>
        <v>0.7289562660416895</v>
      </c>
    </row>
    <row r="30" spans="1:18" ht="15" thickBot="1" x14ac:dyDescent="0.4">
      <c r="B30" s="3"/>
      <c r="C30" s="37">
        <v>5.8244361374715316E-2</v>
      </c>
      <c r="D30" s="37">
        <v>6.8979168580046348E-3</v>
      </c>
      <c r="E30" s="37">
        <v>8.4437610040379205</v>
      </c>
      <c r="F30" s="37">
        <v>1.4343785758043753E-5</v>
      </c>
      <c r="G30" s="37">
        <v>4.2640189345993638E-2</v>
      </c>
      <c r="H30" s="37">
        <v>7.3848533403436986E-2</v>
      </c>
      <c r="I30" s="37">
        <v>4.2640189345993638E-2</v>
      </c>
      <c r="J30" s="37">
        <v>7.3848533403436986E-2</v>
      </c>
      <c r="M30" s="17" t="s">
        <v>19</v>
      </c>
      <c r="N30" s="24"/>
      <c r="O30" s="25">
        <f>J27/H30</f>
        <v>0.42089980364484159</v>
      </c>
    </row>
    <row r="32" spans="1:18" x14ac:dyDescent="0.35">
      <c r="O32" s="1" t="s">
        <v>99</v>
      </c>
      <c r="P32" s="1"/>
      <c r="Q32" s="1">
        <f>1/O28</f>
        <v>1.8738433843255364</v>
      </c>
    </row>
    <row r="34" spans="3:12" x14ac:dyDescent="0.35"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 spans="3:12" x14ac:dyDescent="0.35">
      <c r="C35" s="38"/>
      <c r="D35" s="38"/>
      <c r="E35" s="38"/>
      <c r="F35" s="38"/>
      <c r="G35" s="38"/>
      <c r="H35" s="38"/>
      <c r="I35" s="38"/>
      <c r="J35" s="38"/>
      <c r="K35" s="38"/>
      <c r="L35" s="38"/>
    </row>
    <row r="36" spans="3:12" x14ac:dyDescent="0.35">
      <c r="C36" s="39"/>
      <c r="D36" s="39"/>
      <c r="E36" s="38"/>
      <c r="F36" s="38"/>
      <c r="G36" s="38"/>
      <c r="H36" s="38"/>
      <c r="I36" s="38"/>
      <c r="J36" s="38"/>
      <c r="K36" s="38"/>
      <c r="L36" s="38"/>
    </row>
    <row r="37" spans="3:12" x14ac:dyDescent="0.35">
      <c r="C37" s="36"/>
      <c r="D37" s="36"/>
      <c r="E37" s="38"/>
      <c r="F37" s="38"/>
      <c r="G37" s="38"/>
      <c r="H37" s="38"/>
      <c r="I37" s="38"/>
      <c r="J37" s="38"/>
      <c r="K37" s="38"/>
      <c r="L37" s="38"/>
    </row>
    <row r="38" spans="3:12" x14ac:dyDescent="0.35">
      <c r="C38" s="36"/>
      <c r="D38" s="36"/>
      <c r="E38" s="38"/>
      <c r="F38" s="38"/>
      <c r="G38" s="38"/>
      <c r="H38" s="38"/>
      <c r="I38" s="38"/>
      <c r="J38" s="38"/>
      <c r="K38" s="38"/>
      <c r="L38" s="38"/>
    </row>
    <row r="39" spans="3:12" x14ac:dyDescent="0.35">
      <c r="C39" s="36"/>
      <c r="D39" s="36"/>
      <c r="E39" s="38"/>
      <c r="F39" s="38"/>
      <c r="G39" s="38"/>
      <c r="H39" s="38"/>
      <c r="I39" s="38"/>
      <c r="J39" s="38"/>
      <c r="K39" s="38"/>
      <c r="L39" s="38"/>
    </row>
    <row r="40" spans="3:12" x14ac:dyDescent="0.35">
      <c r="C40" s="36"/>
      <c r="D40" s="36"/>
      <c r="E40" s="38"/>
      <c r="F40" s="38"/>
      <c r="G40" s="38"/>
      <c r="H40" s="38"/>
      <c r="I40" s="38"/>
      <c r="J40" s="38"/>
      <c r="K40" s="38"/>
      <c r="L40" s="38"/>
    </row>
    <row r="41" spans="3:12" x14ac:dyDescent="0.35">
      <c r="C41" s="36"/>
      <c r="D41" s="36"/>
      <c r="E41" s="38"/>
      <c r="F41" s="38"/>
      <c r="G41" s="38"/>
      <c r="H41" s="38"/>
      <c r="I41" s="38"/>
      <c r="J41" s="38"/>
      <c r="K41" s="38"/>
      <c r="L41" s="38"/>
    </row>
    <row r="42" spans="3:12" x14ac:dyDescent="0.35"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 spans="3:12" x14ac:dyDescent="0.35"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 spans="3:12" x14ac:dyDescent="0.35">
      <c r="C44" s="40"/>
      <c r="D44" s="40"/>
      <c r="E44" s="40"/>
      <c r="F44" s="40"/>
      <c r="G44" s="40"/>
      <c r="H44" s="40"/>
      <c r="I44" s="38"/>
      <c r="J44" s="38"/>
      <c r="K44" s="38"/>
      <c r="L44" s="38"/>
    </row>
    <row r="45" spans="3:12" x14ac:dyDescent="0.35">
      <c r="C45" s="36"/>
      <c r="D45" s="36"/>
      <c r="E45" s="36"/>
      <c r="F45" s="36"/>
      <c r="G45" s="36"/>
      <c r="H45" s="36"/>
      <c r="I45" s="38"/>
      <c r="J45" s="38"/>
      <c r="K45" s="38"/>
      <c r="L45" s="38"/>
    </row>
    <row r="46" spans="3:12" x14ac:dyDescent="0.35">
      <c r="C46" s="36"/>
      <c r="D46" s="36"/>
      <c r="E46" s="36"/>
      <c r="F46" s="36"/>
      <c r="G46" s="36"/>
      <c r="H46" s="36"/>
      <c r="I46" s="38"/>
      <c r="J46" s="38"/>
      <c r="K46" s="38"/>
      <c r="L46" s="38"/>
    </row>
    <row r="47" spans="3:12" x14ac:dyDescent="0.35">
      <c r="C47" s="36"/>
      <c r="D47" s="36"/>
      <c r="E47" s="36"/>
      <c r="F47" s="36"/>
      <c r="G47" s="36"/>
      <c r="H47" s="36"/>
      <c r="I47" s="38"/>
      <c r="J47" s="38"/>
      <c r="K47" s="38"/>
      <c r="L47" s="38"/>
    </row>
    <row r="48" spans="3:12" x14ac:dyDescent="0.35">
      <c r="C48" s="38"/>
      <c r="D48" s="38"/>
      <c r="E48" s="38"/>
      <c r="F48" s="38"/>
      <c r="G48" s="38"/>
      <c r="H48" s="38"/>
      <c r="I48" s="38"/>
      <c r="J48" s="38"/>
      <c r="K48" s="38"/>
      <c r="L48" s="38"/>
    </row>
    <row r="49" spans="3:12" x14ac:dyDescent="0.35">
      <c r="C49" s="40"/>
      <c r="D49" s="40"/>
      <c r="E49" s="40"/>
      <c r="F49" s="40"/>
      <c r="G49" s="40"/>
      <c r="H49" s="40"/>
      <c r="I49" s="40"/>
      <c r="J49" s="40"/>
      <c r="K49" s="40"/>
      <c r="L49" s="38"/>
    </row>
    <row r="50" spans="3:12" x14ac:dyDescent="0.35">
      <c r="C50" s="36"/>
      <c r="D50" s="36"/>
      <c r="E50" s="36"/>
      <c r="F50" s="36"/>
      <c r="G50" s="36"/>
      <c r="H50" s="36"/>
      <c r="I50" s="36"/>
      <c r="J50" s="36"/>
      <c r="K50" s="36"/>
      <c r="L50" s="38"/>
    </row>
    <row r="51" spans="3:12" x14ac:dyDescent="0.35">
      <c r="C51" s="36"/>
      <c r="D51" s="36"/>
      <c r="E51" s="36"/>
      <c r="F51" s="36"/>
      <c r="G51" s="36"/>
      <c r="H51" s="36"/>
      <c r="I51" s="36"/>
      <c r="J51" s="36"/>
      <c r="K51" s="36"/>
      <c r="L51" s="38"/>
    </row>
  </sheetData>
  <phoneticPr fontId="3" type="noConversion"/>
  <conditionalFormatting sqref="C17">
    <cfRule type="duplicateValues" dxfId="2" priority="2"/>
  </conditionalFormatting>
  <pageMargins left="0.7" right="0.7" top="0.75" bottom="0.75" header="0.3" footer="0.3"/>
  <pageSetup paperSize="9" scale="53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A5A0-9E57-419E-9B39-E3AFD8E11B79}">
  <sheetPr>
    <tabColor theme="9"/>
    <pageSetUpPr fitToPage="1"/>
  </sheetPr>
  <dimension ref="A1:R51"/>
  <sheetViews>
    <sheetView topLeftCell="F15" workbookViewId="0">
      <selection activeCell="R30" sqref="R30"/>
    </sheetView>
  </sheetViews>
  <sheetFormatPr baseColWidth="10" defaultColWidth="9.1796875" defaultRowHeight="14.5" x14ac:dyDescent="0.35"/>
  <cols>
    <col min="1" max="1" width="4.54296875" customWidth="1"/>
    <col min="2" max="2" width="11.7265625" customWidth="1"/>
    <col min="3" max="3" width="18" customWidth="1"/>
    <col min="4" max="8" width="10.7265625" customWidth="1"/>
  </cols>
  <sheetData>
    <row r="1" spans="1:8" ht="15" thickBot="1" x14ac:dyDescent="0.4">
      <c r="A1" s="6" t="s">
        <v>17</v>
      </c>
      <c r="B1" s="7"/>
      <c r="C1" s="26" t="s">
        <v>48</v>
      </c>
    </row>
    <row r="2" spans="1:8" ht="15" thickBot="1" x14ac:dyDescent="0.4"/>
    <row r="3" spans="1:8" s="1" customFormat="1" x14ac:dyDescent="0.35">
      <c r="A3" s="8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10" t="s">
        <v>6</v>
      </c>
    </row>
    <row r="4" spans="1:8" x14ac:dyDescent="0.35">
      <c r="A4" s="11">
        <v>1</v>
      </c>
      <c r="B4" s="32" t="s">
        <v>49</v>
      </c>
      <c r="C4" s="33" t="s">
        <v>50</v>
      </c>
      <c r="D4" s="30">
        <v>-1</v>
      </c>
      <c r="E4" s="34">
        <v>0.12</v>
      </c>
      <c r="F4" s="34">
        <v>2.0000000000000004E-2</v>
      </c>
      <c r="G4" s="5">
        <f>E4-0.015</f>
        <v>0.105</v>
      </c>
      <c r="H4" s="12">
        <f>LN(G4)</f>
        <v>-2.2537949288246137</v>
      </c>
    </row>
    <row r="5" spans="1:8" x14ac:dyDescent="0.35">
      <c r="A5" s="11">
        <v>2</v>
      </c>
      <c r="B5" s="32" t="s">
        <v>51</v>
      </c>
      <c r="C5" s="41" t="s">
        <v>52</v>
      </c>
      <c r="D5" s="30">
        <v>-3</v>
      </c>
      <c r="E5" s="34">
        <v>0.14000000000000001</v>
      </c>
      <c r="F5" s="34">
        <v>2.0000000000000004E-2</v>
      </c>
      <c r="G5" s="5">
        <f t="shared" ref="G5:G15" si="0">E5-0.015</f>
        <v>0.125</v>
      </c>
      <c r="H5" s="12">
        <f t="shared" ref="H5:H14" si="1">LN(G5)</f>
        <v>-2.0794415416798357</v>
      </c>
    </row>
    <row r="6" spans="1:8" x14ac:dyDescent="0.35">
      <c r="A6" s="11">
        <v>3</v>
      </c>
      <c r="B6" s="32" t="s">
        <v>53</v>
      </c>
      <c r="C6" s="41" t="s">
        <v>54</v>
      </c>
      <c r="D6" s="30">
        <v>-5</v>
      </c>
      <c r="E6" s="34">
        <v>0.13</v>
      </c>
      <c r="F6" s="34">
        <v>2.0000000000000004E-2</v>
      </c>
      <c r="G6" s="5">
        <f t="shared" si="0"/>
        <v>0.115</v>
      </c>
      <c r="H6" s="12">
        <f t="shared" si="1"/>
        <v>-2.1628231506188871</v>
      </c>
    </row>
    <row r="7" spans="1:8" x14ac:dyDescent="0.35">
      <c r="A7" s="11">
        <v>4</v>
      </c>
      <c r="B7" s="32" t="s">
        <v>55</v>
      </c>
      <c r="C7" s="41" t="s">
        <v>56</v>
      </c>
      <c r="D7" s="30">
        <v>-9</v>
      </c>
      <c r="E7" s="34">
        <v>0.11</v>
      </c>
      <c r="F7" s="34">
        <v>1.0000000000000002E-2</v>
      </c>
      <c r="G7" s="5">
        <f t="shared" si="0"/>
        <v>9.5000000000000001E-2</v>
      </c>
      <c r="H7" s="12">
        <f t="shared" si="1"/>
        <v>-2.353878387381596</v>
      </c>
    </row>
    <row r="8" spans="1:8" x14ac:dyDescent="0.35">
      <c r="A8" s="11">
        <v>5</v>
      </c>
      <c r="B8" s="32" t="s">
        <v>57</v>
      </c>
      <c r="C8" s="41" t="s">
        <v>58</v>
      </c>
      <c r="D8" s="30">
        <v>-13</v>
      </c>
      <c r="E8" s="34">
        <v>0.11</v>
      </c>
      <c r="F8" s="34">
        <v>1.0000000000000002E-2</v>
      </c>
      <c r="G8" s="5">
        <f t="shared" si="0"/>
        <v>9.5000000000000001E-2</v>
      </c>
      <c r="H8" s="12">
        <f t="shared" si="1"/>
        <v>-2.353878387381596</v>
      </c>
    </row>
    <row r="9" spans="1:8" x14ac:dyDescent="0.35">
      <c r="A9" s="11">
        <v>6</v>
      </c>
      <c r="B9" s="32" t="s">
        <v>59</v>
      </c>
      <c r="C9" s="41" t="s">
        <v>60</v>
      </c>
      <c r="D9" s="4">
        <v>-17</v>
      </c>
      <c r="E9" s="35">
        <v>0.1</v>
      </c>
      <c r="F9" s="35">
        <v>1.0000000000000002E-2</v>
      </c>
      <c r="G9" s="5">
        <f t="shared" si="0"/>
        <v>8.5000000000000006E-2</v>
      </c>
      <c r="H9" s="12">
        <f t="shared" si="1"/>
        <v>-2.4651040224918206</v>
      </c>
    </row>
    <row r="10" spans="1:8" x14ac:dyDescent="0.35">
      <c r="A10" s="11">
        <v>7</v>
      </c>
      <c r="B10" s="32" t="s">
        <v>61</v>
      </c>
      <c r="C10" s="41" t="s">
        <v>62</v>
      </c>
      <c r="D10" s="4">
        <v>-21</v>
      </c>
      <c r="E10" s="35">
        <v>0.09</v>
      </c>
      <c r="F10" s="35">
        <v>1.0000000000000002E-2</v>
      </c>
      <c r="G10" s="5">
        <f t="shared" si="0"/>
        <v>7.4999999999999997E-2</v>
      </c>
      <c r="H10" s="12">
        <f t="shared" si="1"/>
        <v>-2.5902671654458267</v>
      </c>
    </row>
    <row r="11" spans="1:8" x14ac:dyDescent="0.35">
      <c r="A11" s="11">
        <v>8</v>
      </c>
      <c r="B11" s="32" t="s">
        <v>63</v>
      </c>
      <c r="C11" s="41" t="s">
        <v>64</v>
      </c>
      <c r="D11" s="4">
        <v>-25</v>
      </c>
      <c r="E11" s="35">
        <v>7.0000000000000007E-2</v>
      </c>
      <c r="F11" s="35">
        <v>1.0000000000000002E-2</v>
      </c>
      <c r="G11" s="5">
        <f t="shared" si="0"/>
        <v>5.5000000000000007E-2</v>
      </c>
      <c r="H11" s="12">
        <f t="shared" si="1"/>
        <v>-2.9004220937496661</v>
      </c>
    </row>
    <row r="12" spans="1:8" x14ac:dyDescent="0.35">
      <c r="A12" s="11">
        <v>9</v>
      </c>
      <c r="B12" s="32" t="s">
        <v>65</v>
      </c>
      <c r="C12" s="41" t="s">
        <v>66</v>
      </c>
      <c r="D12" s="4">
        <v>-29</v>
      </c>
      <c r="E12" s="35">
        <v>4.3999999999999997E-2</v>
      </c>
      <c r="F12" s="35">
        <v>6.0000000000000001E-3</v>
      </c>
      <c r="G12" s="5">
        <f t="shared" si="0"/>
        <v>2.8999999999999998E-2</v>
      </c>
      <c r="H12" s="12">
        <f t="shared" si="1"/>
        <v>-3.5404594489956631</v>
      </c>
    </row>
    <row r="13" spans="1:8" x14ac:dyDescent="0.35">
      <c r="A13" s="11">
        <v>10</v>
      </c>
      <c r="B13" s="32" t="s">
        <v>67</v>
      </c>
      <c r="C13" s="41" t="s">
        <v>68</v>
      </c>
      <c r="D13" s="4">
        <v>-33</v>
      </c>
      <c r="E13" s="35">
        <v>3.5999999999999997E-2</v>
      </c>
      <c r="F13" s="35">
        <v>5.0000000000000001E-3</v>
      </c>
      <c r="G13" s="5">
        <f t="shared" si="0"/>
        <v>2.0999999999999998E-2</v>
      </c>
      <c r="H13" s="12">
        <f t="shared" si="1"/>
        <v>-3.8632328412587142</v>
      </c>
    </row>
    <row r="14" spans="1:8" x14ac:dyDescent="0.35">
      <c r="A14" s="11">
        <v>11</v>
      </c>
      <c r="B14" s="32" t="s">
        <v>69</v>
      </c>
      <c r="C14" s="41" t="s">
        <v>70</v>
      </c>
      <c r="D14" s="4">
        <v>-39</v>
      </c>
      <c r="E14" s="35">
        <v>3.6999999999999998E-2</v>
      </c>
      <c r="F14" s="35">
        <v>5.0000000000000001E-3</v>
      </c>
      <c r="G14" s="5">
        <f t="shared" si="0"/>
        <v>2.1999999999999999E-2</v>
      </c>
      <c r="H14" s="12">
        <f t="shared" si="1"/>
        <v>-3.8167128256238212</v>
      </c>
    </row>
    <row r="15" spans="1:8" x14ac:dyDescent="0.35">
      <c r="A15" s="11">
        <v>12</v>
      </c>
      <c r="B15" s="32" t="s">
        <v>71</v>
      </c>
      <c r="C15" s="41" t="s">
        <v>72</v>
      </c>
      <c r="D15" s="4">
        <v>-49</v>
      </c>
      <c r="E15" s="35">
        <v>1.4999999999999999E-2</v>
      </c>
      <c r="F15" s="35">
        <v>2E-3</v>
      </c>
      <c r="G15" s="5">
        <f t="shared" si="0"/>
        <v>0</v>
      </c>
      <c r="H15" s="12"/>
    </row>
    <row r="16" spans="1:8" x14ac:dyDescent="0.35">
      <c r="A16" s="11">
        <v>13</v>
      </c>
      <c r="B16" s="31"/>
      <c r="C16" s="31"/>
      <c r="D16" s="4"/>
      <c r="E16" s="5"/>
      <c r="F16" s="5"/>
      <c r="G16" s="5"/>
      <c r="H16" s="12"/>
    </row>
    <row r="17" spans="1:18" x14ac:dyDescent="0.35">
      <c r="A17" s="11">
        <v>14</v>
      </c>
      <c r="B17" s="31"/>
      <c r="C17" s="31"/>
      <c r="D17" s="4"/>
      <c r="E17" s="5"/>
      <c r="F17" s="5"/>
      <c r="G17" s="5"/>
      <c r="H17" s="12"/>
    </row>
    <row r="18" spans="1:18" x14ac:dyDescent="0.35">
      <c r="A18" s="11">
        <v>15</v>
      </c>
      <c r="B18" s="31"/>
      <c r="C18" s="31"/>
      <c r="D18" s="4"/>
      <c r="E18" s="5"/>
      <c r="F18" s="5"/>
      <c r="G18" s="5"/>
      <c r="H18" s="12"/>
    </row>
    <row r="19" spans="1:18" x14ac:dyDescent="0.35">
      <c r="A19" s="11">
        <v>16</v>
      </c>
      <c r="B19" s="31"/>
      <c r="C19" s="31"/>
      <c r="D19" s="4"/>
      <c r="E19" s="5"/>
      <c r="F19" s="5"/>
      <c r="G19" s="5"/>
      <c r="H19" s="12"/>
    </row>
    <row r="20" spans="1:18" x14ac:dyDescent="0.35">
      <c r="A20" s="11">
        <v>17</v>
      </c>
      <c r="B20" s="31"/>
      <c r="C20" s="31"/>
      <c r="D20" s="4"/>
      <c r="E20" s="5"/>
      <c r="F20" s="5"/>
      <c r="G20" s="5"/>
      <c r="H20" s="12"/>
    </row>
    <row r="21" spans="1:18" x14ac:dyDescent="0.35">
      <c r="A21" s="11">
        <v>18</v>
      </c>
      <c r="B21" s="31"/>
      <c r="C21" s="31"/>
      <c r="D21" s="4"/>
      <c r="E21" s="5"/>
      <c r="F21" s="5"/>
      <c r="G21" s="5"/>
      <c r="H21" s="12"/>
    </row>
    <row r="22" spans="1:18" x14ac:dyDescent="0.35">
      <c r="A22" s="11">
        <v>19</v>
      </c>
      <c r="B22" s="31"/>
      <c r="C22" s="31"/>
      <c r="D22" s="4"/>
      <c r="E22" s="5"/>
      <c r="F22" s="5"/>
      <c r="G22" s="5"/>
      <c r="H22" s="12"/>
    </row>
    <row r="23" spans="1:18" ht="15" thickBot="1" x14ac:dyDescent="0.4">
      <c r="A23" s="13">
        <v>20</v>
      </c>
      <c r="B23" s="14"/>
      <c r="C23" s="14"/>
      <c r="D23" s="14"/>
      <c r="E23" s="14"/>
      <c r="F23" s="14"/>
      <c r="G23" s="28"/>
      <c r="H23" s="29"/>
    </row>
    <row r="24" spans="1:18" ht="15" thickBot="1" x14ac:dyDescent="0.4"/>
    <row r="25" spans="1:18" ht="15" thickBot="1" x14ac:dyDescent="0.4">
      <c r="B25" s="6" t="s">
        <v>8</v>
      </c>
      <c r="C25" s="7"/>
      <c r="D25" s="7"/>
      <c r="E25" s="27">
        <f>E15</f>
        <v>1.4999999999999999E-2</v>
      </c>
    </row>
    <row r="26" spans="1:18" ht="15" thickBot="1" x14ac:dyDescent="0.4"/>
    <row r="27" spans="1:18" ht="15" thickBot="1" x14ac:dyDescent="0.4">
      <c r="B27" s="1" t="s">
        <v>47</v>
      </c>
      <c r="H27" s="1" t="s">
        <v>7</v>
      </c>
      <c r="I27" s="1"/>
      <c r="J27" s="1">
        <f>LN(2)/22.3</f>
        <v>3.1082833208966154E-2</v>
      </c>
      <c r="M27" s="20" t="s">
        <v>21</v>
      </c>
      <c r="N27" s="15"/>
      <c r="O27" s="16"/>
    </row>
    <row r="28" spans="1:18" x14ac:dyDescent="0.35">
      <c r="B28" s="2"/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  <c r="H28" s="2" t="s">
        <v>14</v>
      </c>
      <c r="I28" s="2" t="s">
        <v>15</v>
      </c>
      <c r="J28" s="2" t="s">
        <v>16</v>
      </c>
      <c r="M28" s="21" t="s">
        <v>20</v>
      </c>
      <c r="N28" s="18"/>
      <c r="O28" s="22">
        <f>J27/C30</f>
        <v>0.63208136210501265</v>
      </c>
      <c r="Q28">
        <v>5</v>
      </c>
      <c r="R28">
        <f>2023.75-(4/O28)</f>
        <v>2017.4217007654222</v>
      </c>
    </row>
    <row r="29" spans="1:18" x14ac:dyDescent="0.35">
      <c r="C29" s="36">
        <v>-1.8900743772925144</v>
      </c>
      <c r="D29" s="36">
        <v>0.12943819861935379</v>
      </c>
      <c r="E29" s="36">
        <v>-14.602137525497884</v>
      </c>
      <c r="F29" s="36">
        <v>1.4244568006860457E-7</v>
      </c>
      <c r="G29" s="36">
        <v>-2.1828839254389822</v>
      </c>
      <c r="H29" s="36">
        <v>-1.5972648291460465</v>
      </c>
      <c r="I29" s="36">
        <v>-2.1828839254389822</v>
      </c>
      <c r="J29" s="36">
        <v>-1.5972648291460465</v>
      </c>
      <c r="M29" s="23" t="s">
        <v>18</v>
      </c>
      <c r="N29" s="19"/>
      <c r="O29" s="12">
        <f>J27/G30</f>
        <v>0.87398037481287538</v>
      </c>
      <c r="Q29">
        <v>45</v>
      </c>
      <c r="R29">
        <f>2023.75-(45/O28)</f>
        <v>1952.5566336110005</v>
      </c>
    </row>
    <row r="30" spans="1:18" ht="15" thickBot="1" x14ac:dyDescent="0.4">
      <c r="B30" s="3"/>
      <c r="C30" s="37">
        <v>4.917536740120193E-2</v>
      </c>
      <c r="D30" s="37">
        <v>6.0166847156553644E-3</v>
      </c>
      <c r="E30" s="37">
        <v>8.1731667396910499</v>
      </c>
      <c r="F30" s="37">
        <v>1.8646477251843809E-5</v>
      </c>
      <c r="G30" s="37">
        <v>3.5564680975383664E-2</v>
      </c>
      <c r="H30" s="37">
        <v>6.2786053827020197E-2</v>
      </c>
      <c r="I30" s="37">
        <v>3.5564680975383664E-2</v>
      </c>
      <c r="J30" s="37">
        <v>6.2786053827020197E-2</v>
      </c>
      <c r="M30" s="17" t="s">
        <v>19</v>
      </c>
      <c r="N30" s="24"/>
      <c r="O30" s="25">
        <f>J27/H30</f>
        <v>0.49505951265230735</v>
      </c>
    </row>
    <row r="32" spans="1:18" x14ac:dyDescent="0.35">
      <c r="O32" s="1" t="s">
        <v>99</v>
      </c>
      <c r="P32" s="1"/>
      <c r="Q32" s="1">
        <f>1/O28</f>
        <v>1.5820748086444323</v>
      </c>
    </row>
    <row r="34" spans="3:12" x14ac:dyDescent="0.35"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 spans="3:12" x14ac:dyDescent="0.35">
      <c r="C35" s="38"/>
      <c r="D35" s="38"/>
      <c r="E35" s="38"/>
      <c r="F35" s="38"/>
      <c r="G35" s="38"/>
      <c r="H35" s="38"/>
      <c r="I35" s="38"/>
      <c r="J35" s="38"/>
      <c r="K35" s="38"/>
      <c r="L35" s="38"/>
    </row>
    <row r="36" spans="3:12" x14ac:dyDescent="0.35">
      <c r="C36" s="39"/>
      <c r="D36" s="39"/>
      <c r="E36" s="38"/>
      <c r="F36" s="38"/>
      <c r="G36" s="38"/>
      <c r="H36" s="38"/>
      <c r="I36" s="38"/>
      <c r="J36" s="38"/>
      <c r="K36" s="38"/>
      <c r="L36" s="38"/>
    </row>
    <row r="37" spans="3:12" x14ac:dyDescent="0.35">
      <c r="C37" s="36"/>
      <c r="D37" s="36"/>
      <c r="E37" s="38"/>
      <c r="F37" s="38"/>
      <c r="G37" s="38"/>
      <c r="H37" s="38"/>
      <c r="I37" s="38"/>
      <c r="J37" s="38"/>
      <c r="K37" s="38"/>
      <c r="L37" s="38"/>
    </row>
    <row r="38" spans="3:12" x14ac:dyDescent="0.35">
      <c r="C38" s="36"/>
      <c r="D38" s="36"/>
      <c r="E38" s="38"/>
      <c r="F38" s="38"/>
      <c r="G38" s="38"/>
      <c r="H38" s="38"/>
      <c r="I38" s="38"/>
      <c r="J38" s="38"/>
      <c r="K38" s="38"/>
      <c r="L38" s="38"/>
    </row>
    <row r="39" spans="3:12" x14ac:dyDescent="0.35">
      <c r="C39" s="36"/>
      <c r="D39" s="36"/>
      <c r="E39" s="38"/>
      <c r="F39" s="38"/>
      <c r="G39" s="38"/>
      <c r="H39" s="38"/>
      <c r="I39" s="38"/>
      <c r="J39" s="38"/>
      <c r="K39" s="38"/>
      <c r="L39" s="38"/>
    </row>
    <row r="40" spans="3:12" x14ac:dyDescent="0.35">
      <c r="C40" s="36"/>
      <c r="D40" s="36"/>
      <c r="E40" s="38"/>
      <c r="F40" s="38"/>
      <c r="G40" s="38"/>
      <c r="H40" s="38"/>
      <c r="I40" s="38"/>
      <c r="J40" s="38"/>
      <c r="K40" s="38"/>
      <c r="L40" s="38"/>
    </row>
    <row r="41" spans="3:12" x14ac:dyDescent="0.35">
      <c r="C41" s="36"/>
      <c r="D41" s="36"/>
      <c r="E41" s="38"/>
      <c r="F41" s="38"/>
      <c r="G41" s="38"/>
      <c r="H41" s="38"/>
      <c r="I41" s="38"/>
      <c r="J41" s="38"/>
      <c r="K41" s="38"/>
      <c r="L41" s="38"/>
    </row>
    <row r="42" spans="3:12" x14ac:dyDescent="0.35"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 spans="3:12" x14ac:dyDescent="0.35"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 spans="3:12" x14ac:dyDescent="0.35">
      <c r="C44" s="40"/>
      <c r="D44" s="40"/>
      <c r="E44" s="40"/>
      <c r="F44" s="40"/>
      <c r="G44" s="40"/>
      <c r="H44" s="40"/>
      <c r="I44" s="38"/>
      <c r="J44" s="38"/>
      <c r="K44" s="38"/>
      <c r="L44" s="38"/>
    </row>
    <row r="45" spans="3:12" x14ac:dyDescent="0.35">
      <c r="C45" s="36"/>
      <c r="D45" s="36"/>
      <c r="E45" s="36"/>
      <c r="F45" s="36"/>
      <c r="G45" s="36"/>
      <c r="H45" s="36"/>
      <c r="I45" s="38"/>
      <c r="J45" s="38"/>
      <c r="K45" s="38"/>
      <c r="L45" s="38"/>
    </row>
    <row r="46" spans="3:12" x14ac:dyDescent="0.35">
      <c r="C46" s="36"/>
      <c r="D46" s="36"/>
      <c r="E46" s="36"/>
      <c r="F46" s="36"/>
      <c r="G46" s="36"/>
      <c r="H46" s="36"/>
      <c r="I46" s="38"/>
      <c r="J46" s="38"/>
      <c r="K46" s="38"/>
      <c r="L46" s="38"/>
    </row>
    <row r="47" spans="3:12" x14ac:dyDescent="0.35">
      <c r="C47" s="36"/>
      <c r="D47" s="36"/>
      <c r="E47" s="36"/>
      <c r="F47" s="36"/>
      <c r="G47" s="36"/>
      <c r="H47" s="36"/>
      <c r="I47" s="38"/>
      <c r="J47" s="38"/>
      <c r="K47" s="38"/>
      <c r="L47" s="38"/>
    </row>
    <row r="48" spans="3:12" x14ac:dyDescent="0.35">
      <c r="C48" s="38"/>
      <c r="D48" s="38"/>
      <c r="E48" s="38"/>
      <c r="F48" s="38"/>
      <c r="G48" s="38"/>
      <c r="H48" s="38"/>
      <c r="I48" s="38"/>
      <c r="J48" s="38"/>
      <c r="K48" s="38"/>
      <c r="L48" s="38"/>
    </row>
    <row r="49" spans="3:12" x14ac:dyDescent="0.35">
      <c r="C49" s="40"/>
      <c r="D49" s="40"/>
      <c r="E49" s="40"/>
      <c r="F49" s="40"/>
      <c r="G49" s="40"/>
      <c r="H49" s="40"/>
      <c r="I49" s="40"/>
      <c r="J49" s="40"/>
      <c r="K49" s="40"/>
      <c r="L49" s="38"/>
    </row>
    <row r="50" spans="3:12" x14ac:dyDescent="0.35">
      <c r="C50" s="36"/>
      <c r="D50" s="36"/>
      <c r="E50" s="36"/>
      <c r="F50" s="36"/>
      <c r="G50" s="36"/>
      <c r="H50" s="36"/>
      <c r="I50" s="36"/>
      <c r="J50" s="36"/>
      <c r="K50" s="36"/>
      <c r="L50" s="38"/>
    </row>
    <row r="51" spans="3:12" x14ac:dyDescent="0.35">
      <c r="C51" s="36"/>
      <c r="D51" s="36"/>
      <c r="E51" s="36"/>
      <c r="F51" s="36"/>
      <c r="G51" s="36"/>
      <c r="H51" s="36"/>
      <c r="I51" s="36"/>
      <c r="J51" s="36"/>
      <c r="K51" s="36"/>
      <c r="L51" s="38"/>
    </row>
  </sheetData>
  <conditionalFormatting sqref="C17">
    <cfRule type="duplicateValues" dxfId="1" priority="1"/>
  </conditionalFormatting>
  <pageMargins left="0.7" right="0.7" top="0.75" bottom="0.75" header="0.3" footer="0.3"/>
  <pageSetup paperSize="9" scale="53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19BF-3A02-4670-974A-52962E3C0C81}">
  <sheetPr>
    <tabColor theme="9"/>
    <pageSetUpPr fitToPage="1"/>
  </sheetPr>
  <dimension ref="A1:S51"/>
  <sheetViews>
    <sheetView topLeftCell="A9" workbookViewId="0">
      <selection activeCell="B27" sqref="B27"/>
    </sheetView>
  </sheetViews>
  <sheetFormatPr baseColWidth="10" defaultColWidth="9.1796875" defaultRowHeight="14.5" x14ac:dyDescent="0.35"/>
  <cols>
    <col min="1" max="1" width="4.54296875" customWidth="1"/>
    <col min="2" max="2" width="11.7265625" customWidth="1"/>
    <col min="3" max="3" width="18" customWidth="1"/>
    <col min="4" max="8" width="10.7265625" customWidth="1"/>
    <col min="15" max="15" width="8.81640625" customWidth="1"/>
  </cols>
  <sheetData>
    <row r="1" spans="1:8" ht="15" thickBot="1" x14ac:dyDescent="0.4">
      <c r="A1" s="6" t="s">
        <v>17</v>
      </c>
      <c r="B1" s="7"/>
      <c r="C1" s="26" t="s">
        <v>73</v>
      </c>
    </row>
    <row r="2" spans="1:8" ht="15" thickBot="1" x14ac:dyDescent="0.4"/>
    <row r="3" spans="1:8" s="1" customFormat="1" x14ac:dyDescent="0.35">
      <c r="A3" s="8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10" t="s">
        <v>6</v>
      </c>
    </row>
    <row r="4" spans="1:8" x14ac:dyDescent="0.35">
      <c r="A4" s="11">
        <v>1</v>
      </c>
      <c r="B4" s="32" t="s">
        <v>74</v>
      </c>
      <c r="C4" s="33" t="s">
        <v>75</v>
      </c>
      <c r="D4" s="30">
        <v>-1</v>
      </c>
      <c r="E4" s="34">
        <v>6.9000000000000006E-2</v>
      </c>
      <c r="F4" s="34">
        <v>8.9999999999999993E-3</v>
      </c>
      <c r="G4" s="5">
        <f>E4-0.008</f>
        <v>6.1000000000000006E-2</v>
      </c>
      <c r="H4" s="12">
        <f>LN(G4)</f>
        <v>-2.7968814148088259</v>
      </c>
    </row>
    <row r="5" spans="1:8" x14ac:dyDescent="0.35">
      <c r="A5" s="11">
        <v>2</v>
      </c>
      <c r="B5" s="32" t="s">
        <v>76</v>
      </c>
      <c r="C5" s="33" t="s">
        <v>77</v>
      </c>
      <c r="D5" s="30">
        <v>-6</v>
      </c>
      <c r="E5" s="34">
        <v>1.0999999999999999E-2</v>
      </c>
      <c r="F5" s="34">
        <v>2E-3</v>
      </c>
      <c r="G5" s="5">
        <f t="shared" ref="G5:G15" si="0">E5-0.008</f>
        <v>2.9999999999999992E-3</v>
      </c>
      <c r="H5" s="12">
        <f t="shared" ref="H5" si="1">LN(G5)</f>
        <v>-5.8091429903140277</v>
      </c>
    </row>
    <row r="6" spans="1:8" x14ac:dyDescent="0.35">
      <c r="A6" s="11">
        <v>3</v>
      </c>
      <c r="B6" s="32" t="s">
        <v>78</v>
      </c>
      <c r="C6" s="33" t="s">
        <v>79</v>
      </c>
      <c r="D6" s="30">
        <v>-10</v>
      </c>
      <c r="E6" s="34">
        <v>7.0000000000000001E-3</v>
      </c>
      <c r="F6" s="34">
        <v>1E-3</v>
      </c>
      <c r="G6" s="5">
        <f t="shared" si="0"/>
        <v>-1E-3</v>
      </c>
      <c r="H6" s="12"/>
    </row>
    <row r="7" spans="1:8" x14ac:dyDescent="0.35">
      <c r="A7" s="11">
        <v>4</v>
      </c>
      <c r="B7" s="32" t="s">
        <v>80</v>
      </c>
      <c r="C7" s="33" t="s">
        <v>81</v>
      </c>
      <c r="D7" s="30">
        <v>-14</v>
      </c>
      <c r="E7" s="34">
        <v>8.9999999999999993E-3</v>
      </c>
      <c r="F7" s="34">
        <v>1E-3</v>
      </c>
      <c r="G7" s="5">
        <f t="shared" si="0"/>
        <v>9.9999999999999915E-4</v>
      </c>
      <c r="H7" s="12"/>
    </row>
    <row r="8" spans="1:8" x14ac:dyDescent="0.35">
      <c r="A8" s="11">
        <v>5</v>
      </c>
      <c r="B8" s="32" t="s">
        <v>82</v>
      </c>
      <c r="C8" s="33" t="s">
        <v>83</v>
      </c>
      <c r="D8" s="30">
        <v>-18</v>
      </c>
      <c r="E8" s="34">
        <v>7.0000000000000001E-3</v>
      </c>
      <c r="F8" s="34">
        <v>1E-3</v>
      </c>
      <c r="G8" s="5">
        <f t="shared" si="0"/>
        <v>-1E-3</v>
      </c>
      <c r="H8" s="12"/>
    </row>
    <row r="9" spans="1:8" x14ac:dyDescent="0.35">
      <c r="A9" s="11">
        <v>6</v>
      </c>
      <c r="B9" s="32" t="s">
        <v>84</v>
      </c>
      <c r="C9" s="33" t="s">
        <v>85</v>
      </c>
      <c r="D9" s="4">
        <v>-24</v>
      </c>
      <c r="E9" s="35">
        <v>8.0000000000000002E-3</v>
      </c>
      <c r="F9" s="35">
        <v>1E-3</v>
      </c>
      <c r="G9" s="5">
        <f t="shared" si="0"/>
        <v>0</v>
      </c>
      <c r="H9" s="12"/>
    </row>
    <row r="10" spans="1:8" x14ac:dyDescent="0.35">
      <c r="A10" s="11">
        <v>7</v>
      </c>
      <c r="B10" s="32" t="s">
        <v>86</v>
      </c>
      <c r="C10" s="33" t="s">
        <v>87</v>
      </c>
      <c r="D10" s="4">
        <v>-30</v>
      </c>
      <c r="E10" s="35">
        <v>1.0999999999999999E-2</v>
      </c>
      <c r="F10" s="35">
        <v>2E-3</v>
      </c>
      <c r="G10" s="5">
        <f t="shared" si="0"/>
        <v>2.9999999999999992E-3</v>
      </c>
      <c r="H10" s="12"/>
    </row>
    <row r="11" spans="1:8" x14ac:dyDescent="0.35">
      <c r="A11" s="11">
        <v>8</v>
      </c>
      <c r="B11" s="32" t="s">
        <v>88</v>
      </c>
      <c r="C11" s="33" t="s">
        <v>89</v>
      </c>
      <c r="D11" s="4">
        <v>-36</v>
      </c>
      <c r="E11" s="35">
        <v>0.01</v>
      </c>
      <c r="F11" s="35">
        <v>1E-3</v>
      </c>
      <c r="G11" s="5">
        <f t="shared" si="0"/>
        <v>2E-3</v>
      </c>
      <c r="H11" s="12"/>
    </row>
    <row r="12" spans="1:8" x14ac:dyDescent="0.35">
      <c r="A12" s="11">
        <v>9</v>
      </c>
      <c r="B12" s="32" t="s">
        <v>90</v>
      </c>
      <c r="C12" s="33" t="s">
        <v>91</v>
      </c>
      <c r="D12" s="4">
        <v>-42</v>
      </c>
      <c r="E12" s="35">
        <v>8.9999999999999993E-3</v>
      </c>
      <c r="F12" s="35">
        <v>1E-3</v>
      </c>
      <c r="G12" s="5">
        <f t="shared" si="0"/>
        <v>9.9999999999999915E-4</v>
      </c>
      <c r="H12" s="12"/>
    </row>
    <row r="13" spans="1:8" x14ac:dyDescent="0.35">
      <c r="A13" s="11">
        <v>10</v>
      </c>
      <c r="B13" s="32" t="s">
        <v>92</v>
      </c>
      <c r="C13" s="33" t="s">
        <v>93</v>
      </c>
      <c r="D13" s="4">
        <v>-48</v>
      </c>
      <c r="E13" s="35">
        <v>7.0000000000000001E-3</v>
      </c>
      <c r="F13" s="35">
        <v>1E-3</v>
      </c>
      <c r="G13" s="5">
        <f t="shared" si="0"/>
        <v>-1E-3</v>
      </c>
      <c r="H13" s="12"/>
    </row>
    <row r="14" spans="1:8" x14ac:dyDescent="0.35">
      <c r="A14" s="11">
        <v>11</v>
      </c>
      <c r="B14" s="32" t="s">
        <v>94</v>
      </c>
      <c r="C14" s="33" t="s">
        <v>95</v>
      </c>
      <c r="D14" s="4">
        <v>-54</v>
      </c>
      <c r="E14" s="35">
        <v>8.0000000000000002E-3</v>
      </c>
      <c r="F14" s="35">
        <v>1E-3</v>
      </c>
      <c r="G14" s="5">
        <f t="shared" si="0"/>
        <v>0</v>
      </c>
      <c r="H14" s="12"/>
    </row>
    <row r="15" spans="1:8" x14ac:dyDescent="0.35">
      <c r="A15" s="11">
        <v>12</v>
      </c>
      <c r="B15" s="32" t="s">
        <v>96</v>
      </c>
      <c r="C15" s="33" t="s">
        <v>97</v>
      </c>
      <c r="D15" s="4">
        <v>-60</v>
      </c>
      <c r="E15" s="35">
        <v>8.9999999999999993E-3</v>
      </c>
      <c r="F15" s="35">
        <v>1E-3</v>
      </c>
      <c r="G15" s="5">
        <f t="shared" si="0"/>
        <v>9.9999999999999915E-4</v>
      </c>
      <c r="H15" s="12"/>
    </row>
    <row r="16" spans="1:8" x14ac:dyDescent="0.35">
      <c r="A16" s="11">
        <v>13</v>
      </c>
      <c r="B16" s="31"/>
      <c r="C16" s="31"/>
      <c r="D16" s="4"/>
      <c r="E16" s="5"/>
      <c r="F16" s="5"/>
      <c r="G16" s="5"/>
      <c r="H16" s="12"/>
    </row>
    <row r="17" spans="1:19" x14ac:dyDescent="0.35">
      <c r="A17" s="11">
        <v>14</v>
      </c>
      <c r="B17" s="31"/>
      <c r="C17" s="31"/>
      <c r="D17" s="4"/>
      <c r="E17" s="5"/>
      <c r="F17" s="5"/>
      <c r="G17" s="5"/>
      <c r="H17" s="12"/>
    </row>
    <row r="18" spans="1:19" x14ac:dyDescent="0.35">
      <c r="A18" s="11">
        <v>15</v>
      </c>
      <c r="B18" s="31"/>
      <c r="C18" s="31"/>
      <c r="D18" s="4"/>
      <c r="E18" s="5"/>
      <c r="F18" s="5"/>
      <c r="G18" s="5"/>
      <c r="H18" s="12"/>
    </row>
    <row r="19" spans="1:19" x14ac:dyDescent="0.35">
      <c r="A19" s="11">
        <v>16</v>
      </c>
      <c r="B19" s="31"/>
      <c r="C19" s="31"/>
      <c r="D19" s="4"/>
      <c r="E19" s="5"/>
      <c r="F19" s="5"/>
      <c r="G19" s="5"/>
      <c r="H19" s="12"/>
    </row>
    <row r="20" spans="1:19" x14ac:dyDescent="0.35">
      <c r="A20" s="11">
        <v>17</v>
      </c>
      <c r="B20" s="31"/>
      <c r="C20" s="31"/>
      <c r="D20" s="4"/>
      <c r="E20" s="5"/>
      <c r="F20" s="5"/>
      <c r="G20" s="5"/>
      <c r="H20" s="12"/>
    </row>
    <row r="21" spans="1:19" x14ac:dyDescent="0.35">
      <c r="A21" s="11">
        <v>18</v>
      </c>
      <c r="B21" s="31"/>
      <c r="C21" s="31"/>
      <c r="D21" s="4"/>
      <c r="E21" s="5"/>
      <c r="F21" s="5"/>
      <c r="G21" s="5"/>
      <c r="H21" s="12"/>
    </row>
    <row r="22" spans="1:19" x14ac:dyDescent="0.35">
      <c r="A22" s="11">
        <v>19</v>
      </c>
      <c r="B22" s="31"/>
      <c r="C22" s="31"/>
      <c r="D22" s="4"/>
      <c r="E22" s="5"/>
      <c r="F22" s="5"/>
      <c r="G22" s="5"/>
      <c r="H22" s="12"/>
    </row>
    <row r="23" spans="1:19" ht="15" thickBot="1" x14ac:dyDescent="0.4">
      <c r="A23" s="13">
        <v>20</v>
      </c>
      <c r="B23" s="14"/>
      <c r="C23" s="14"/>
      <c r="D23" s="14"/>
      <c r="E23" s="14"/>
      <c r="F23" s="14"/>
      <c r="G23" s="28"/>
      <c r="H23" s="29"/>
    </row>
    <row r="24" spans="1:19" ht="15" thickBot="1" x14ac:dyDescent="0.4"/>
    <row r="25" spans="1:19" ht="15" thickBot="1" x14ac:dyDescent="0.4">
      <c r="B25" s="6" t="s">
        <v>8</v>
      </c>
      <c r="C25" s="7"/>
      <c r="D25" s="7"/>
      <c r="E25" s="27">
        <v>8.0000000000000002E-3</v>
      </c>
    </row>
    <row r="26" spans="1:19" ht="15" thickBot="1" x14ac:dyDescent="0.4"/>
    <row r="27" spans="1:19" x14ac:dyDescent="0.35">
      <c r="B27" s="1" t="s">
        <v>98</v>
      </c>
      <c r="H27" s="1"/>
      <c r="I27" s="1"/>
      <c r="J27" s="1"/>
      <c r="M27" s="20" t="s">
        <v>21</v>
      </c>
      <c r="N27" s="15"/>
      <c r="O27" s="16"/>
      <c r="R27">
        <v>5</v>
      </c>
      <c r="S27">
        <f>2023.75-(5/0.1)</f>
        <v>1973.75</v>
      </c>
    </row>
    <row r="28" spans="1:19" x14ac:dyDescent="0.35">
      <c r="B28" s="42"/>
      <c r="C28" s="42"/>
      <c r="D28" s="42"/>
      <c r="E28" s="42"/>
      <c r="F28" s="42"/>
      <c r="G28" s="42"/>
      <c r="H28" s="42"/>
      <c r="I28" s="42"/>
      <c r="J28" s="42"/>
      <c r="M28" s="21" t="s">
        <v>20</v>
      </c>
      <c r="N28" s="18"/>
      <c r="O28" s="22" t="e">
        <f>J27/C30</f>
        <v>#DIV/0!</v>
      </c>
      <c r="R28">
        <v>50</v>
      </c>
      <c r="S28">
        <f>2023.75-(50/0.1)</f>
        <v>1523.75</v>
      </c>
    </row>
    <row r="29" spans="1:19" x14ac:dyDescent="0.35">
      <c r="B29" s="38"/>
      <c r="C29" s="36"/>
      <c r="D29" s="36"/>
      <c r="E29" s="36"/>
      <c r="F29" s="36"/>
      <c r="G29" s="36"/>
      <c r="H29" s="36"/>
      <c r="I29" s="36"/>
      <c r="J29" s="36"/>
      <c r="M29" s="23" t="s">
        <v>18</v>
      </c>
      <c r="N29" s="19"/>
      <c r="O29" s="12" t="e">
        <f>J27/G30</f>
        <v>#DIV/0!</v>
      </c>
    </row>
    <row r="30" spans="1:19" ht="15" thickBot="1" x14ac:dyDescent="0.4">
      <c r="B30" s="38"/>
      <c r="C30" s="36"/>
      <c r="D30" s="36"/>
      <c r="E30" s="36"/>
      <c r="F30" s="36"/>
      <c r="G30" s="36"/>
      <c r="H30" s="36"/>
      <c r="I30" s="36"/>
      <c r="J30" s="36"/>
      <c r="M30" s="17" t="s">
        <v>19</v>
      </c>
      <c r="N30" s="24"/>
      <c r="O30" s="25" t="e">
        <f>J27/H30</f>
        <v>#DIV/0!</v>
      </c>
    </row>
    <row r="32" spans="1:19" x14ac:dyDescent="0.35">
      <c r="O32" s="1" t="s">
        <v>99</v>
      </c>
      <c r="Q32">
        <f>1/0.1</f>
        <v>10</v>
      </c>
    </row>
    <row r="34" spans="3:12" x14ac:dyDescent="0.35"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 spans="3:12" x14ac:dyDescent="0.35">
      <c r="C35" s="38"/>
      <c r="D35" s="38"/>
      <c r="E35" s="38"/>
      <c r="F35" s="38"/>
      <c r="G35" s="38"/>
      <c r="H35" s="38"/>
      <c r="I35" s="38"/>
      <c r="J35" s="38"/>
      <c r="K35" s="38"/>
      <c r="L35" s="38"/>
    </row>
    <row r="36" spans="3:12" x14ac:dyDescent="0.35">
      <c r="C36" s="39"/>
      <c r="D36" s="39"/>
      <c r="E36" s="38"/>
      <c r="F36" s="38"/>
      <c r="G36" s="38"/>
      <c r="H36" s="38"/>
      <c r="I36" s="38"/>
      <c r="J36" s="38"/>
      <c r="K36" s="38"/>
      <c r="L36" s="38"/>
    </row>
    <row r="37" spans="3:12" x14ac:dyDescent="0.35">
      <c r="C37" s="36"/>
      <c r="D37" s="36"/>
      <c r="E37" s="38"/>
      <c r="F37" s="38"/>
      <c r="G37" s="38"/>
      <c r="H37" s="38"/>
      <c r="I37" s="38"/>
      <c r="J37" s="38"/>
      <c r="K37" s="38"/>
      <c r="L37" s="38"/>
    </row>
    <row r="38" spans="3:12" x14ac:dyDescent="0.35">
      <c r="C38" s="36"/>
      <c r="D38" s="36"/>
      <c r="E38" s="38"/>
      <c r="F38" s="38"/>
      <c r="G38" s="38"/>
      <c r="H38" s="38"/>
      <c r="I38" s="38"/>
      <c r="J38" s="38"/>
      <c r="K38" s="38"/>
      <c r="L38" s="38"/>
    </row>
    <row r="39" spans="3:12" x14ac:dyDescent="0.35">
      <c r="C39" s="36"/>
      <c r="D39" s="36"/>
      <c r="E39" s="38"/>
      <c r="F39" s="38"/>
      <c r="G39" s="38"/>
      <c r="H39" s="38"/>
      <c r="I39" s="38"/>
      <c r="J39" s="38"/>
      <c r="K39" s="38"/>
      <c r="L39" s="38"/>
    </row>
    <row r="40" spans="3:12" x14ac:dyDescent="0.35">
      <c r="C40" s="36"/>
      <c r="D40" s="36"/>
      <c r="E40" s="38"/>
      <c r="F40" s="38"/>
      <c r="G40" s="38"/>
      <c r="H40" s="38"/>
      <c r="I40" s="38"/>
      <c r="J40" s="38"/>
      <c r="K40" s="38"/>
      <c r="L40" s="38"/>
    </row>
    <row r="41" spans="3:12" x14ac:dyDescent="0.35">
      <c r="C41" s="36"/>
      <c r="D41" s="36"/>
      <c r="E41" s="38"/>
      <c r="F41" s="38"/>
      <c r="G41" s="38"/>
      <c r="H41" s="38"/>
      <c r="I41" s="38"/>
      <c r="J41" s="38"/>
      <c r="K41" s="38"/>
      <c r="L41" s="38"/>
    </row>
    <row r="42" spans="3:12" x14ac:dyDescent="0.35"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 spans="3:12" x14ac:dyDescent="0.35"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 spans="3:12" x14ac:dyDescent="0.35">
      <c r="C44" s="40"/>
      <c r="D44" s="40"/>
      <c r="E44" s="40"/>
      <c r="F44" s="40"/>
      <c r="G44" s="40"/>
      <c r="H44" s="40"/>
      <c r="I44" s="38"/>
      <c r="J44" s="38"/>
      <c r="K44" s="38"/>
      <c r="L44" s="38"/>
    </row>
    <row r="45" spans="3:12" x14ac:dyDescent="0.35">
      <c r="C45" s="36"/>
      <c r="D45" s="36"/>
      <c r="E45" s="36"/>
      <c r="F45" s="36"/>
      <c r="G45" s="36"/>
      <c r="H45" s="36"/>
      <c r="I45" s="38"/>
      <c r="J45" s="38"/>
      <c r="K45" s="38"/>
      <c r="L45" s="38"/>
    </row>
    <row r="46" spans="3:12" x14ac:dyDescent="0.35">
      <c r="C46" s="36"/>
      <c r="D46" s="36"/>
      <c r="E46" s="36"/>
      <c r="F46" s="36"/>
      <c r="G46" s="36"/>
      <c r="H46" s="36"/>
      <c r="I46" s="38"/>
      <c r="J46" s="38"/>
      <c r="K46" s="38"/>
      <c r="L46" s="38"/>
    </row>
    <row r="47" spans="3:12" x14ac:dyDescent="0.35">
      <c r="C47" s="36"/>
      <c r="D47" s="36"/>
      <c r="E47" s="36"/>
      <c r="F47" s="36"/>
      <c r="G47" s="36"/>
      <c r="H47" s="36"/>
      <c r="I47" s="38"/>
      <c r="J47" s="38"/>
      <c r="K47" s="38"/>
      <c r="L47" s="38"/>
    </row>
    <row r="48" spans="3:12" x14ac:dyDescent="0.35">
      <c r="C48" s="38"/>
      <c r="D48" s="38"/>
      <c r="E48" s="38"/>
      <c r="F48" s="38"/>
      <c r="G48" s="38"/>
      <c r="H48" s="38"/>
      <c r="I48" s="38"/>
      <c r="J48" s="38"/>
      <c r="K48" s="38"/>
      <c r="L48" s="38"/>
    </row>
    <row r="49" spans="3:12" x14ac:dyDescent="0.35">
      <c r="C49" s="40"/>
      <c r="D49" s="40"/>
      <c r="E49" s="40"/>
      <c r="F49" s="40"/>
      <c r="G49" s="40"/>
      <c r="H49" s="40"/>
      <c r="I49" s="40"/>
      <c r="J49" s="40"/>
      <c r="K49" s="40"/>
      <c r="L49" s="38"/>
    </row>
    <row r="50" spans="3:12" x14ac:dyDescent="0.35">
      <c r="C50" s="36"/>
      <c r="D50" s="36"/>
      <c r="E50" s="36"/>
      <c r="F50" s="36"/>
      <c r="G50" s="36"/>
      <c r="H50" s="36"/>
      <c r="I50" s="36"/>
      <c r="J50" s="36"/>
      <c r="K50" s="36"/>
      <c r="L50" s="38"/>
    </row>
    <row r="51" spans="3:12" x14ac:dyDescent="0.35">
      <c r="C51" s="36"/>
      <c r="D51" s="36"/>
      <c r="E51" s="36"/>
      <c r="F51" s="36"/>
      <c r="G51" s="36"/>
      <c r="H51" s="36"/>
      <c r="I51" s="36"/>
      <c r="J51" s="36"/>
      <c r="K51" s="36"/>
      <c r="L51" s="38"/>
    </row>
  </sheetData>
  <conditionalFormatting sqref="C17">
    <cfRule type="duplicateValues" dxfId="0" priority="1"/>
  </conditionalFormatting>
  <pageMargins left="0.7" right="0.7" top="0.75" bottom="0.75" header="0.3" footer="0.3"/>
  <pageSetup paperSize="9" scale="53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C9CA-AFCB-4458-8CB1-9E34B175DD7B}">
  <dimension ref="J2:O5"/>
  <sheetViews>
    <sheetView workbookViewId="0">
      <selection activeCell="J2" sqref="J2:N5"/>
    </sheetView>
  </sheetViews>
  <sheetFormatPr baseColWidth="10" defaultRowHeight="14.5" x14ac:dyDescent="0.35"/>
  <cols>
    <col min="11" max="11" width="11" customWidth="1"/>
    <col min="12" max="12" width="17.54296875" customWidth="1"/>
    <col min="13" max="14" width="15.81640625" customWidth="1"/>
  </cols>
  <sheetData>
    <row r="2" spans="10:15" ht="44.25" customHeight="1" x14ac:dyDescent="0.35">
      <c r="J2" s="43" t="s">
        <v>100</v>
      </c>
      <c r="K2" s="43" t="s">
        <v>101</v>
      </c>
      <c r="L2" s="43" t="s">
        <v>102</v>
      </c>
      <c r="M2" s="43" t="s">
        <v>103</v>
      </c>
      <c r="N2" s="43" t="s">
        <v>115</v>
      </c>
      <c r="O2" s="43" t="s">
        <v>104</v>
      </c>
    </row>
    <row r="3" spans="10:15" x14ac:dyDescent="0.35">
      <c r="J3" s="4" t="s">
        <v>105</v>
      </c>
      <c r="K3" s="4" t="s">
        <v>109</v>
      </c>
      <c r="L3" s="4">
        <v>62</v>
      </c>
      <c r="M3" s="4" t="s">
        <v>110</v>
      </c>
      <c r="N3" s="4" t="s">
        <v>118</v>
      </c>
      <c r="O3" s="4" t="s">
        <v>111</v>
      </c>
    </row>
    <row r="4" spans="10:15" x14ac:dyDescent="0.35">
      <c r="J4" s="4" t="s">
        <v>106</v>
      </c>
      <c r="K4" s="4" t="s">
        <v>22</v>
      </c>
      <c r="L4" s="4">
        <v>48</v>
      </c>
      <c r="M4" s="4" t="s">
        <v>108</v>
      </c>
      <c r="N4" s="4" t="s">
        <v>116</v>
      </c>
      <c r="O4" s="4" t="s">
        <v>112</v>
      </c>
    </row>
    <row r="5" spans="10:15" x14ac:dyDescent="0.35">
      <c r="J5" s="4" t="s">
        <v>107</v>
      </c>
      <c r="K5" s="4" t="s">
        <v>48</v>
      </c>
      <c r="L5" s="4">
        <v>49</v>
      </c>
      <c r="M5" s="4" t="s">
        <v>114</v>
      </c>
      <c r="N5" s="4" t="s">
        <v>117</v>
      </c>
      <c r="O5" s="4" t="s">
        <v>113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Cicero</vt:lpstr>
      <vt:lpstr>Colindres</vt:lpstr>
      <vt:lpstr>Santona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Reading</dc:creator>
  <cp:lastModifiedBy>Elena Baños Lara</cp:lastModifiedBy>
  <cp:lastPrinted>2025-12-01T10:58:55Z</cp:lastPrinted>
  <dcterms:created xsi:type="dcterms:W3CDTF">2025-05-15T13:03:13Z</dcterms:created>
  <dcterms:modified xsi:type="dcterms:W3CDTF">2026-03-19T10:57:08Z</dcterms:modified>
</cp:coreProperties>
</file>