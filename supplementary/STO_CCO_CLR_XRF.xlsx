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na Baños\Desktop\Doctorat\Doctorat\ALL_DATA\XRF\"/>
    </mc:Choice>
  </mc:AlternateContent>
  <xr:revisionPtr revIDLastSave="0" documentId="13_ncr:1_{2E7BD273-BE95-40E7-9ABB-3AD9D288709C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CO0" sheetId="1" r:id="rId1"/>
    <sheet name="CCO3" sheetId="4" r:id="rId2"/>
    <sheet name="STOm" sheetId="6" r:id="rId3"/>
    <sheet name="STO3" sheetId="5" r:id="rId4"/>
    <sheet name="CLRm" sheetId="7" r:id="rId5"/>
    <sheet name="CLR3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2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2" i="6"/>
  <c r="B3" i="4"/>
  <c r="B4" i="4"/>
  <c r="B5" i="4"/>
  <c r="B6" i="4"/>
  <c r="B7" i="4"/>
  <c r="B8" i="4"/>
  <c r="B2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C3" i="8"/>
  <c r="C4" i="8"/>
  <c r="C5" i="8"/>
  <c r="C6" i="8"/>
  <c r="C7" i="8"/>
  <c r="C8" i="8"/>
  <c r="C9" i="8"/>
  <c r="C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2" i="7"/>
</calcChain>
</file>

<file path=xl/sharedStrings.xml><?xml version="1.0" encoding="utf-8"?>
<sst xmlns="http://schemas.openxmlformats.org/spreadsheetml/2006/main" count="5064" uniqueCount="1467">
  <si>
    <t>K</t>
  </si>
  <si>
    <t>K Error</t>
  </si>
  <si>
    <t>P</t>
  </si>
  <si>
    <t>P Error</t>
  </si>
  <si>
    <t>S</t>
  </si>
  <si>
    <t>S Error</t>
  </si>
  <si>
    <t>Ca</t>
  </si>
  <si>
    <t>Ca Error</t>
  </si>
  <si>
    <t>Sc</t>
  </si>
  <si>
    <t>Sc Error</t>
  </si>
  <si>
    <t>Ti</t>
  </si>
  <si>
    <t>Ti Error</t>
  </si>
  <si>
    <t>V</t>
  </si>
  <si>
    <t>V Error</t>
  </si>
  <si>
    <t>Cr</t>
  </si>
  <si>
    <t>Cr Error</t>
  </si>
  <si>
    <t>Mn</t>
  </si>
  <si>
    <t>Mn Error</t>
  </si>
  <si>
    <t>Fe</t>
  </si>
  <si>
    <t>Fe Error</t>
  </si>
  <si>
    <t>Co</t>
  </si>
  <si>
    <t>Co Error</t>
  </si>
  <si>
    <t>Ni</t>
  </si>
  <si>
    <t>Ni Error</t>
  </si>
  <si>
    <t>Cu</t>
  </si>
  <si>
    <t>Cu Error</t>
  </si>
  <si>
    <t>Zn</t>
  </si>
  <si>
    <t>Zn Error</t>
  </si>
  <si>
    <t>As</t>
  </si>
  <si>
    <t>As Error</t>
  </si>
  <si>
    <t>Se</t>
  </si>
  <si>
    <t>Se Error</t>
  </si>
  <si>
    <t>Rb</t>
  </si>
  <si>
    <t>Rb Error</t>
  </si>
  <si>
    <t>Sr</t>
  </si>
  <si>
    <t>Sr Error</t>
  </si>
  <si>
    <t>Zr</t>
  </si>
  <si>
    <t>Zr Error</t>
  </si>
  <si>
    <t>Mo</t>
  </si>
  <si>
    <t>Mo Error</t>
  </si>
  <si>
    <t>Pd</t>
  </si>
  <si>
    <t>Pd Error</t>
  </si>
  <si>
    <t>Ag</t>
  </si>
  <si>
    <t>Ag Error</t>
  </si>
  <si>
    <t>Cd</t>
  </si>
  <si>
    <t>Cd Error</t>
  </si>
  <si>
    <t>Sn</t>
  </si>
  <si>
    <t>Sn Error</t>
  </si>
  <si>
    <t>Sb</t>
  </si>
  <si>
    <t>Sb Error</t>
  </si>
  <si>
    <t>Te</t>
  </si>
  <si>
    <t>Te Error</t>
  </si>
  <si>
    <t>Cs</t>
  </si>
  <si>
    <t>Cs Error</t>
  </si>
  <si>
    <t>Ba</t>
  </si>
  <si>
    <t>Ba Error</t>
  </si>
  <si>
    <t>W</t>
  </si>
  <si>
    <t>W Error</t>
  </si>
  <si>
    <t>Au</t>
  </si>
  <si>
    <t>Au Error</t>
  </si>
  <si>
    <t>Hg</t>
  </si>
  <si>
    <t>Hg Error</t>
  </si>
  <si>
    <t>Pb</t>
  </si>
  <si>
    <t>Pb Error</t>
  </si>
  <si>
    <t>Th</t>
  </si>
  <si>
    <t>Th Error</t>
  </si>
  <si>
    <t>U</t>
  </si>
  <si>
    <t>U Error</t>
  </si>
  <si>
    <t>&lt;LOD</t>
  </si>
  <si>
    <t>Depth</t>
  </si>
  <si>
    <t>SAMPLE</t>
  </si>
  <si>
    <t>Sto2 0</t>
  </si>
  <si>
    <t>Sto2 1</t>
  </si>
  <si>
    <t>Sto2 2</t>
  </si>
  <si>
    <t>Sto2 3</t>
  </si>
  <si>
    <t>Sto2 4</t>
  </si>
  <si>
    <t>Sto2 5</t>
  </si>
  <si>
    <t>Sto2 6</t>
  </si>
  <si>
    <t>Sto2 7</t>
  </si>
  <si>
    <t>Sto2 8</t>
  </si>
  <si>
    <t>Sto2 9</t>
  </si>
  <si>
    <t>Sto2 10</t>
  </si>
  <si>
    <t>Sto2 11</t>
  </si>
  <si>
    <t>Sto2 12</t>
  </si>
  <si>
    <t>Sto2 13</t>
  </si>
  <si>
    <t>Sto2 14</t>
  </si>
  <si>
    <t>Sto2 15</t>
  </si>
  <si>
    <t>Sto2 16</t>
  </si>
  <si>
    <t>Sto2 17</t>
  </si>
  <si>
    <t>Sto2 18</t>
  </si>
  <si>
    <t>Sto2 19</t>
  </si>
  <si>
    <t>Sto2 20</t>
  </si>
  <si>
    <t>Sto2 21</t>
  </si>
  <si>
    <t>Sto2 22</t>
  </si>
  <si>
    <t>Sto2 23</t>
  </si>
  <si>
    <t>Sto2 24</t>
  </si>
  <si>
    <t>Sto2 25</t>
  </si>
  <si>
    <t>Sto2 26</t>
  </si>
  <si>
    <t>Sto2 27</t>
  </si>
  <si>
    <t>Sto2 28</t>
  </si>
  <si>
    <t>Sto2 29</t>
  </si>
  <si>
    <t>Sto2 30</t>
  </si>
  <si>
    <t>Sto2 31</t>
  </si>
  <si>
    <t>Sto2 32</t>
  </si>
  <si>
    <t>Sto2 33</t>
  </si>
  <si>
    <t>Sto2 34</t>
  </si>
  <si>
    <t>Sto2 35</t>
  </si>
  <si>
    <t>Sto2 36</t>
  </si>
  <si>
    <t>Sto2 37</t>
  </si>
  <si>
    <t>Sto2 38</t>
  </si>
  <si>
    <t>Sto2 39</t>
  </si>
  <si>
    <t>Sto2 40</t>
  </si>
  <si>
    <t>Sto2 41</t>
  </si>
  <si>
    <t>Sto2 42</t>
  </si>
  <si>
    <t>Sto2 43</t>
  </si>
  <si>
    <t>Sto2 44</t>
  </si>
  <si>
    <t>Sto2 45</t>
  </si>
  <si>
    <t>Sto2 46</t>
  </si>
  <si>
    <t>Sto2 47</t>
  </si>
  <si>
    <t>Sto2 48</t>
  </si>
  <si>
    <t>Sto2 49</t>
  </si>
  <si>
    <t>Sto2 50</t>
  </si>
  <si>
    <t>Sto2 51</t>
  </si>
  <si>
    <t>Sto2 52</t>
  </si>
  <si>
    <t>Sto2 53</t>
  </si>
  <si>
    <t>Sto2 54</t>
  </si>
  <si>
    <t>Sto2 55</t>
  </si>
  <si>
    <t>Sto2 56</t>
  </si>
  <si>
    <t>Sto2 57</t>
  </si>
  <si>
    <t>Sto2 58</t>
  </si>
  <si>
    <t>Sto2 59</t>
  </si>
  <si>
    <t>Sto2 60</t>
  </si>
  <si>
    <t>Sto2 61</t>
  </si>
  <si>
    <t>Sto2 62</t>
  </si>
  <si>
    <t>Sto2 63</t>
  </si>
  <si>
    <t>Sto2 64</t>
  </si>
  <si>
    <t>Sto2 65</t>
  </si>
  <si>
    <t>Sto2 66</t>
  </si>
  <si>
    <t>Sto2 67</t>
  </si>
  <si>
    <t>Sto2 68</t>
  </si>
  <si>
    <t>Sto2 69</t>
  </si>
  <si>
    <t>Sto2 70</t>
  </si>
  <si>
    <t>Sto2 71</t>
  </si>
  <si>
    <t>Sto2 72</t>
  </si>
  <si>
    <t>Sto2 73</t>
  </si>
  <si>
    <t>Sto2 74</t>
  </si>
  <si>
    <t>Sto2 75</t>
  </si>
  <si>
    <t>Sto2 76</t>
  </si>
  <si>
    <t>Sto2 77</t>
  </si>
  <si>
    <t>Sto2 78</t>
  </si>
  <si>
    <t>Sto2 79</t>
  </si>
  <si>
    <t>Sto2 80</t>
  </si>
  <si>
    <t>Sto2 81</t>
  </si>
  <si>
    <t>Sto2 82</t>
  </si>
  <si>
    <t>Sto2 83</t>
  </si>
  <si>
    <t>Sto2 84</t>
  </si>
  <si>
    <t>Sto2 85</t>
  </si>
  <si>
    <t>Sto2 86</t>
  </si>
  <si>
    <t>Sto2 87</t>
  </si>
  <si>
    <t>Sto2 88</t>
  </si>
  <si>
    <t>Sto2 89</t>
  </si>
  <si>
    <t>Sto2 90</t>
  </si>
  <si>
    <t>Sto2 91</t>
  </si>
  <si>
    <t>Sto2 92</t>
  </si>
  <si>
    <t>Sto2 93</t>
  </si>
  <si>
    <t>Sto2 94</t>
  </si>
  <si>
    <t>Sto2 95</t>
  </si>
  <si>
    <t>Sto2 96</t>
  </si>
  <si>
    <t>Sto2 97</t>
  </si>
  <si>
    <t>Sto2 98</t>
  </si>
  <si>
    <t>Sto2 99</t>
  </si>
  <si>
    <t>clr3 9</t>
  </si>
  <si>
    <t>clr3 13</t>
  </si>
  <si>
    <t>clr3 17</t>
  </si>
  <si>
    <t>clr3 21</t>
  </si>
  <si>
    <t>clr3 31</t>
  </si>
  <si>
    <t>clr3 37</t>
  </si>
  <si>
    <t>clr3 41</t>
  </si>
  <si>
    <t>clr3 47</t>
  </si>
  <si>
    <t>Year</t>
  </si>
  <si>
    <t>sto3 0</t>
  </si>
  <si>
    <t>16420.4</t>
  </si>
  <si>
    <t>161.8</t>
  </si>
  <si>
    <t>413.81</t>
  </si>
  <si>
    <t>256.09</t>
  </si>
  <si>
    <t>4073.5</t>
  </si>
  <si>
    <t>212.04</t>
  </si>
  <si>
    <t>12397.47</t>
  </si>
  <si>
    <t>141.98</t>
  </si>
  <si>
    <t>54.49</t>
  </si>
  <si>
    <t>21.85</t>
  </si>
  <si>
    <t>4398.31</t>
  </si>
  <si>
    <t>53.51</t>
  </si>
  <si>
    <t>126.16</t>
  </si>
  <si>
    <t>13.9</t>
  </si>
  <si>
    <t>35.32</t>
  </si>
  <si>
    <t>7.03</t>
  </si>
  <si>
    <t>84.36</t>
  </si>
  <si>
    <t>23.99</t>
  </si>
  <si>
    <t>18516.76</t>
  </si>
  <si>
    <t>121.79</t>
  </si>
  <si>
    <t>66.02</t>
  </si>
  <si>
    <t>36.56</t>
  </si>
  <si>
    <t>12.53</t>
  </si>
  <si>
    <t>20.27</t>
  </si>
  <si>
    <t>7.55</t>
  </si>
  <si>
    <t>171.5</t>
  </si>
  <si>
    <t>7.23</t>
  </si>
  <si>
    <t>23.1</t>
  </si>
  <si>
    <t>4.12</t>
  </si>
  <si>
    <t>2.18</t>
  </si>
  <si>
    <t>124.96</t>
  </si>
  <si>
    <t>2.6</t>
  </si>
  <si>
    <t>203.16</t>
  </si>
  <si>
    <t>2.88</t>
  </si>
  <si>
    <t>349.62</t>
  </si>
  <si>
    <t>3.73</t>
  </si>
  <si>
    <t>7.64</t>
  </si>
  <si>
    <t>1.72</t>
  </si>
  <si>
    <t>4.39</t>
  </si>
  <si>
    <t>4.18</t>
  </si>
  <si>
    <t>4.45</t>
  </si>
  <si>
    <t>6.85</t>
  </si>
  <si>
    <t>13.81</t>
  </si>
  <si>
    <t>4.55</t>
  </si>
  <si>
    <t>137.38</t>
  </si>
  <si>
    <t>14.58</t>
  </si>
  <si>
    <t>22.93</t>
  </si>
  <si>
    <t>3.57</t>
  </si>
  <si>
    <t>2.27</t>
  </si>
  <si>
    <t>5.11</t>
  </si>
  <si>
    <t>111.27</t>
  </si>
  <si>
    <t>4.88</t>
  </si>
  <si>
    <t>17.37</t>
  </si>
  <si>
    <t>2.23</t>
  </si>
  <si>
    <t>4.34</t>
  </si>
  <si>
    <t>sto3 4</t>
  </si>
  <si>
    <t>14980.64</t>
  </si>
  <si>
    <t>143.67</t>
  </si>
  <si>
    <t>318.49</t>
  </si>
  <si>
    <t>3997.08</t>
  </si>
  <si>
    <t>193.04</t>
  </si>
  <si>
    <t>3042.31</t>
  </si>
  <si>
    <t>114.11</t>
  </si>
  <si>
    <t>29.54</t>
  </si>
  <si>
    <t>13.17</t>
  </si>
  <si>
    <t>4531.69</t>
  </si>
  <si>
    <t>49.17</t>
  </si>
  <si>
    <t>95.15</t>
  </si>
  <si>
    <t>12.46</t>
  </si>
  <si>
    <t>18.65</t>
  </si>
  <si>
    <t>6.4</t>
  </si>
  <si>
    <t>64.4</t>
  </si>
  <si>
    <t>22.42</t>
  </si>
  <si>
    <t>10901.7</t>
  </si>
  <si>
    <t>91.73</t>
  </si>
  <si>
    <t>50.6</t>
  </si>
  <si>
    <t>32.94</t>
  </si>
  <si>
    <t>11.76</t>
  </si>
  <si>
    <t>11.13</t>
  </si>
  <si>
    <t>6.91</t>
  </si>
  <si>
    <t>89.5</t>
  </si>
  <si>
    <t>5.55</t>
  </si>
  <si>
    <t>14.99</t>
  </si>
  <si>
    <t>3.12</t>
  </si>
  <si>
    <t>2.05</t>
  </si>
  <si>
    <t>78.89</t>
  </si>
  <si>
    <t>2.07</t>
  </si>
  <si>
    <t>73.23</t>
  </si>
  <si>
    <t>1.77</t>
  </si>
  <si>
    <t>437.79</t>
  </si>
  <si>
    <t>3.91</t>
  </si>
  <si>
    <t>6.41</t>
  </si>
  <si>
    <t>1.73</t>
  </si>
  <si>
    <t>5.35</t>
  </si>
  <si>
    <t>2.98</t>
  </si>
  <si>
    <t>4.06</t>
  </si>
  <si>
    <t>5.89</t>
  </si>
  <si>
    <t>6.32</t>
  </si>
  <si>
    <t>2.94</t>
  </si>
  <si>
    <t>6.69</t>
  </si>
  <si>
    <t>13.94</t>
  </si>
  <si>
    <t>9.03</t>
  </si>
  <si>
    <t>10.11</t>
  </si>
  <si>
    <t>2.96</t>
  </si>
  <si>
    <t>185.44</t>
  </si>
  <si>
    <t>13.97</t>
  </si>
  <si>
    <t>21.09</t>
  </si>
  <si>
    <t>3.1</t>
  </si>
  <si>
    <t>4.76</t>
  </si>
  <si>
    <t>58.83</t>
  </si>
  <si>
    <t>3.66</t>
  </si>
  <si>
    <t>9.71</t>
  </si>
  <si>
    <t>1.82</t>
  </si>
  <si>
    <t>3.77</t>
  </si>
  <si>
    <t>sto3 8</t>
  </si>
  <si>
    <t>16812.09</t>
  </si>
  <si>
    <t>165.51</t>
  </si>
  <si>
    <t>362.88</t>
  </si>
  <si>
    <t>4476.95</t>
  </si>
  <si>
    <t>222.14</t>
  </si>
  <si>
    <t>163.51</t>
  </si>
  <si>
    <t>32.39</t>
  </si>
  <si>
    <t>9.76</t>
  </si>
  <si>
    <t>4567.95</t>
  </si>
  <si>
    <t>53.56</t>
  </si>
  <si>
    <t>124.82</t>
  </si>
  <si>
    <t>13.79</t>
  </si>
  <si>
    <t>32.91</t>
  </si>
  <si>
    <t>7.21</t>
  </si>
  <si>
    <t>96.37</t>
  </si>
  <si>
    <t>24.36</t>
  </si>
  <si>
    <t>17548.14</t>
  </si>
  <si>
    <t>118.61</t>
  </si>
  <si>
    <t>64.65</t>
  </si>
  <si>
    <t>45.59</t>
  </si>
  <si>
    <t>12.35</t>
  </si>
  <si>
    <t>12.97</t>
  </si>
  <si>
    <t>7.2</t>
  </si>
  <si>
    <t>83.33</t>
  </si>
  <si>
    <t>5.58</t>
  </si>
  <si>
    <t>2.97</t>
  </si>
  <si>
    <t>2.12</t>
  </si>
  <si>
    <t>92.29</t>
  </si>
  <si>
    <t>2.28</t>
  </si>
  <si>
    <t>71.36</t>
  </si>
  <si>
    <t>1.79</t>
  </si>
  <si>
    <t>349.59</t>
  </si>
  <si>
    <t>3.62</t>
  </si>
  <si>
    <t>14.64</t>
  </si>
  <si>
    <t>1.78</t>
  </si>
  <si>
    <t>4.31</t>
  </si>
  <si>
    <t>5.33</t>
  </si>
  <si>
    <t>2.8</t>
  </si>
  <si>
    <t>5.94</t>
  </si>
  <si>
    <t>5.91</t>
  </si>
  <si>
    <t>2.99</t>
  </si>
  <si>
    <t>6.8</t>
  </si>
  <si>
    <t>20.08</t>
  </si>
  <si>
    <t>9.21</t>
  </si>
  <si>
    <t>22.7</t>
  </si>
  <si>
    <t>3.05</t>
  </si>
  <si>
    <t>194.68</t>
  </si>
  <si>
    <t>14.2</t>
  </si>
  <si>
    <t>22.18</t>
  </si>
  <si>
    <t>3.25</t>
  </si>
  <si>
    <t>36.54</t>
  </si>
  <si>
    <t>3.18</t>
  </si>
  <si>
    <t>13.07</t>
  </si>
  <si>
    <t>1.94</t>
  </si>
  <si>
    <t>4.07</t>
  </si>
  <si>
    <t>sto3 12</t>
  </si>
  <si>
    <t>17537.77</t>
  </si>
  <si>
    <t>166.84</t>
  </si>
  <si>
    <t>356.74</t>
  </si>
  <si>
    <t>8555.02</t>
  </si>
  <si>
    <t>290.3</t>
  </si>
  <si>
    <t>161.64</t>
  </si>
  <si>
    <t>33.28</t>
  </si>
  <si>
    <t>9.66</t>
  </si>
  <si>
    <t>4660.77</t>
  </si>
  <si>
    <t>53.53</t>
  </si>
  <si>
    <t>129.11</t>
  </si>
  <si>
    <t>32.48</t>
  </si>
  <si>
    <t>7.11</t>
  </si>
  <si>
    <t>54.24</t>
  </si>
  <si>
    <t>22.86</t>
  </si>
  <si>
    <t>16595.47</t>
  </si>
  <si>
    <t>113.35</t>
  </si>
  <si>
    <t>62.08</t>
  </si>
  <si>
    <t>27.48</t>
  </si>
  <si>
    <t>11.94</t>
  </si>
  <si>
    <t>10.46</t>
  </si>
  <si>
    <t>48.82</t>
  </si>
  <si>
    <t>4.71</t>
  </si>
  <si>
    <t>36.02</t>
  </si>
  <si>
    <t>111.73</t>
  </si>
  <si>
    <t>2.44</t>
  </si>
  <si>
    <t>89.97</t>
  </si>
  <si>
    <t>1.95</t>
  </si>
  <si>
    <t>379.88</t>
  </si>
  <si>
    <t>3.71</t>
  </si>
  <si>
    <t>14.43</t>
  </si>
  <si>
    <t>4.43</t>
  </si>
  <si>
    <t>4.11</t>
  </si>
  <si>
    <t>5.95</t>
  </si>
  <si>
    <t>4.91</t>
  </si>
  <si>
    <t>6.88</t>
  </si>
  <si>
    <t>13.88</t>
  </si>
  <si>
    <t>9.45</t>
  </si>
  <si>
    <t>3.03</t>
  </si>
  <si>
    <t>167.38</t>
  </si>
  <si>
    <t>14.23</t>
  </si>
  <si>
    <t>21.32</t>
  </si>
  <si>
    <t>3.28</t>
  </si>
  <si>
    <t>5.22</t>
  </si>
  <si>
    <t>3.26</t>
  </si>
  <si>
    <t>95.62</t>
  </si>
  <si>
    <t>4.49</t>
  </si>
  <si>
    <t>13.32</t>
  </si>
  <si>
    <t>2.04</t>
  </si>
  <si>
    <t>4.25</t>
  </si>
  <si>
    <t>sto3 16</t>
  </si>
  <si>
    <t>19810.57</t>
  </si>
  <si>
    <t>170.96</t>
  </si>
  <si>
    <t>332.61</t>
  </si>
  <si>
    <t>8211.78</t>
  </si>
  <si>
    <t>275.2</t>
  </si>
  <si>
    <t>275.4</t>
  </si>
  <si>
    <t>102.68</t>
  </si>
  <si>
    <t>25.43</t>
  </si>
  <si>
    <t>9.36</t>
  </si>
  <si>
    <t>4785.84</t>
  </si>
  <si>
    <t>52.55</t>
  </si>
  <si>
    <t>134.7</t>
  </si>
  <si>
    <t>13.55</t>
  </si>
  <si>
    <t>39.57</t>
  </si>
  <si>
    <t>59.57</t>
  </si>
  <si>
    <t>22.68</t>
  </si>
  <si>
    <t>15707.04</t>
  </si>
  <si>
    <t>109.93</t>
  </si>
  <si>
    <t>60.04</t>
  </si>
  <si>
    <t>27.1</t>
  </si>
  <si>
    <t>11.91</t>
  </si>
  <si>
    <t>10.4</t>
  </si>
  <si>
    <t>40.95</t>
  </si>
  <si>
    <t>4.5</t>
  </si>
  <si>
    <t>24.23</t>
  </si>
  <si>
    <t>2.09</t>
  </si>
  <si>
    <t>139.64</t>
  </si>
  <si>
    <t>2.68</t>
  </si>
  <si>
    <t>114.91</t>
  </si>
  <si>
    <t>2.16</t>
  </si>
  <si>
    <t>332.85</t>
  </si>
  <si>
    <t>3.51</t>
  </si>
  <si>
    <t>17.7</t>
  </si>
  <si>
    <t>4.44</t>
  </si>
  <si>
    <t>4.19</t>
  </si>
  <si>
    <t>6.09</t>
  </si>
  <si>
    <t>4.46</t>
  </si>
  <si>
    <t>6.82</t>
  </si>
  <si>
    <t>13.84</t>
  </si>
  <si>
    <t>4.52</t>
  </si>
  <si>
    <t>137.77</t>
  </si>
  <si>
    <t>14.19</t>
  </si>
  <si>
    <t>21.44</t>
  </si>
  <si>
    <t>2.15</t>
  </si>
  <si>
    <t>4.84</t>
  </si>
  <si>
    <t>41.1</t>
  </si>
  <si>
    <t>16.68</t>
  </si>
  <si>
    <t>sto3 20</t>
  </si>
  <si>
    <t>22723.57</t>
  </si>
  <si>
    <t>187.03</t>
  </si>
  <si>
    <t>343.16</t>
  </si>
  <si>
    <t>6360.04</t>
  </si>
  <si>
    <t>251.81</t>
  </si>
  <si>
    <t>859.23</t>
  </si>
  <si>
    <t>102.97</t>
  </si>
  <si>
    <t>14.48</t>
  </si>
  <si>
    <t>4991.52</t>
  </si>
  <si>
    <t>55.21</t>
  </si>
  <si>
    <t>14.28</t>
  </si>
  <si>
    <t>44.15</t>
  </si>
  <si>
    <t>7.14</t>
  </si>
  <si>
    <t>66.28</t>
  </si>
  <si>
    <t>23.05</t>
  </si>
  <si>
    <t>16861.24</t>
  </si>
  <si>
    <t>114.3</t>
  </si>
  <si>
    <t>62.55</t>
  </si>
  <si>
    <t>22.82</t>
  </si>
  <si>
    <t>11.96</t>
  </si>
  <si>
    <t>10.45</t>
  </si>
  <si>
    <t>44.45</t>
  </si>
  <si>
    <t>4.63</t>
  </si>
  <si>
    <t>26.52</t>
  </si>
  <si>
    <t>3.49</t>
  </si>
  <si>
    <t>159.34</t>
  </si>
  <si>
    <t>2.86</t>
  </si>
  <si>
    <t>132.2</t>
  </si>
  <si>
    <t>2.32</t>
  </si>
  <si>
    <t>289.28</t>
  </si>
  <si>
    <t>3.33</t>
  </si>
  <si>
    <t>1.71</t>
  </si>
  <si>
    <t>4.51</t>
  </si>
  <si>
    <t>4.17</t>
  </si>
  <si>
    <t>6.14</t>
  </si>
  <si>
    <t>5.34</t>
  </si>
  <si>
    <t>3.06</t>
  </si>
  <si>
    <t>6.94</t>
  </si>
  <si>
    <t>13.98</t>
  </si>
  <si>
    <t>4.61</t>
  </si>
  <si>
    <t>170.44</t>
  </si>
  <si>
    <t>14.54</t>
  </si>
  <si>
    <t>21.81</t>
  </si>
  <si>
    <t>3.23</t>
  </si>
  <si>
    <t>4.95</t>
  </si>
  <si>
    <t>67.94</t>
  </si>
  <si>
    <t>3.93</t>
  </si>
  <si>
    <t>14.38</t>
  </si>
  <si>
    <t>2.06</t>
  </si>
  <si>
    <t>4.72</t>
  </si>
  <si>
    <t>sto3 26</t>
  </si>
  <si>
    <t>21258.44</t>
  </si>
  <si>
    <t>177.52</t>
  </si>
  <si>
    <t>305.47</t>
  </si>
  <si>
    <t>2342.75</t>
  </si>
  <si>
    <t>164.42</t>
  </si>
  <si>
    <t>155.63</t>
  </si>
  <si>
    <t>29.14</t>
  </si>
  <si>
    <t>8.95</t>
  </si>
  <si>
    <t>5354.73</t>
  </si>
  <si>
    <t>55.37</t>
  </si>
  <si>
    <t>142.61</t>
  </si>
  <si>
    <t>14.14</t>
  </si>
  <si>
    <t>46.07</t>
  </si>
  <si>
    <t>55.99</t>
  </si>
  <si>
    <t>22.88</t>
  </si>
  <si>
    <t>13985.05</t>
  </si>
  <si>
    <t>104.83</t>
  </si>
  <si>
    <t>57.91</t>
  </si>
  <si>
    <t>29.35</t>
  </si>
  <si>
    <t>12.02</t>
  </si>
  <si>
    <t>12.75</t>
  </si>
  <si>
    <t>38.01</t>
  </si>
  <si>
    <t>21.45</t>
  </si>
  <si>
    <t>127.99</t>
  </si>
  <si>
    <t>2.61</t>
  </si>
  <si>
    <t>108.69</t>
  </si>
  <si>
    <t>2.13</t>
  </si>
  <si>
    <t>336.57</t>
  </si>
  <si>
    <t>3.55</t>
  </si>
  <si>
    <t>11.81</t>
  </si>
  <si>
    <t>1.74</t>
  </si>
  <si>
    <t>4.42</t>
  </si>
  <si>
    <t>4.27</t>
  </si>
  <si>
    <t>2.82</t>
  </si>
  <si>
    <t>15.34</t>
  </si>
  <si>
    <t>9.29</t>
  </si>
  <si>
    <t>11.62</t>
  </si>
  <si>
    <t>199.22</t>
  </si>
  <si>
    <t>14.42</t>
  </si>
  <si>
    <t>24.54</t>
  </si>
  <si>
    <t>14.78</t>
  </si>
  <si>
    <t>3.17</t>
  </si>
  <si>
    <t>39.37</t>
  </si>
  <si>
    <t>14.5</t>
  </si>
  <si>
    <t>1.98</t>
  </si>
  <si>
    <t>sto3 32</t>
  </si>
  <si>
    <t>22910.14</t>
  </si>
  <si>
    <t>187.15</t>
  </si>
  <si>
    <t>337.98</t>
  </si>
  <si>
    <t>2808.45</t>
  </si>
  <si>
    <t>179.63</t>
  </si>
  <si>
    <t>323.31</t>
  </si>
  <si>
    <t>105.56</t>
  </si>
  <si>
    <t>35.48</t>
  </si>
  <si>
    <t>9.89</t>
  </si>
  <si>
    <t>5442.76</t>
  </si>
  <si>
    <t>56.99</t>
  </si>
  <si>
    <t>171.24</t>
  </si>
  <si>
    <t>14.76</t>
  </si>
  <si>
    <t>60.55</t>
  </si>
  <si>
    <t>7.31</t>
  </si>
  <si>
    <t>56.17</t>
  </si>
  <si>
    <t>22.41</t>
  </si>
  <si>
    <t>15863.28</t>
  </si>
  <si>
    <t>109.94</t>
  </si>
  <si>
    <t>60.36</t>
  </si>
  <si>
    <t>30.11</t>
  </si>
  <si>
    <t>11.93</t>
  </si>
  <si>
    <t>10.44</t>
  </si>
  <si>
    <t>40.18</t>
  </si>
  <si>
    <t>4.47</t>
  </si>
  <si>
    <t>32.3</t>
  </si>
  <si>
    <t>149.75</t>
  </si>
  <si>
    <t>2.77</t>
  </si>
  <si>
    <t>129.82</t>
  </si>
  <si>
    <t>308.76</t>
  </si>
  <si>
    <t>3.39</t>
  </si>
  <si>
    <t>12.49</t>
  </si>
  <si>
    <t>4.38</t>
  </si>
  <si>
    <t>4.4</t>
  </si>
  <si>
    <t>6.63</t>
  </si>
  <si>
    <t>13.56</t>
  </si>
  <si>
    <t>119.42</t>
  </si>
  <si>
    <t>13.99</t>
  </si>
  <si>
    <t>21.4</t>
  </si>
  <si>
    <t>66.06</t>
  </si>
  <si>
    <t>3.85</t>
  </si>
  <si>
    <t>16.08</t>
  </si>
  <si>
    <t>7.08</t>
  </si>
  <si>
    <t>3.16</t>
  </si>
  <si>
    <t>sto3 38</t>
  </si>
  <si>
    <t>21976.71</t>
  </si>
  <si>
    <t>176.6</t>
  </si>
  <si>
    <t>302.31</t>
  </si>
  <si>
    <t>2294.92</t>
  </si>
  <si>
    <t>159.64</t>
  </si>
  <si>
    <t>401.03</t>
  </si>
  <si>
    <t>100.32</t>
  </si>
  <si>
    <t>28.65</t>
  </si>
  <si>
    <t>5268.04</t>
  </si>
  <si>
    <t>53.94</t>
  </si>
  <si>
    <t>163.53</t>
  </si>
  <si>
    <t>13.95</t>
  </si>
  <si>
    <t>41.66</t>
  </si>
  <si>
    <t>47.18</t>
  </si>
  <si>
    <t>22.16</t>
  </si>
  <si>
    <t>14942.41</t>
  </si>
  <si>
    <t>106.78</t>
  </si>
  <si>
    <t>58.85</t>
  </si>
  <si>
    <t>22.99</t>
  </si>
  <si>
    <t>11.85</t>
  </si>
  <si>
    <t>10.32</t>
  </si>
  <si>
    <t>4.56</t>
  </si>
  <si>
    <t>19.08</t>
  </si>
  <si>
    <t>151.19</t>
  </si>
  <si>
    <t>2.78</t>
  </si>
  <si>
    <t>129.64</t>
  </si>
  <si>
    <t>311.44</t>
  </si>
  <si>
    <t>3.4</t>
  </si>
  <si>
    <t>9.78</t>
  </si>
  <si>
    <t>1.69</t>
  </si>
  <si>
    <t>4.16</t>
  </si>
  <si>
    <t>5.96</t>
  </si>
  <si>
    <t>6.77</t>
  </si>
  <si>
    <t>13.59</t>
  </si>
  <si>
    <t>111.61</t>
  </si>
  <si>
    <t>14.11</t>
  </si>
  <si>
    <t>3.02</t>
  </si>
  <si>
    <t>4.8</t>
  </si>
  <si>
    <t>48.9</t>
  </si>
  <si>
    <t>3.44</t>
  </si>
  <si>
    <t>16.25</t>
  </si>
  <si>
    <t>3.15</t>
  </si>
  <si>
    <t>sto3 44</t>
  </si>
  <si>
    <t>22092.11</t>
  </si>
  <si>
    <t>173.36</t>
  </si>
  <si>
    <t>304.99</t>
  </si>
  <si>
    <t>1965.32</t>
  </si>
  <si>
    <t>147.39</t>
  </si>
  <si>
    <t>150.68</t>
  </si>
  <si>
    <t>33.69</t>
  </si>
  <si>
    <t>9.18</t>
  </si>
  <si>
    <t>5441.77</t>
  </si>
  <si>
    <t>53.67</t>
  </si>
  <si>
    <t>160.01</t>
  </si>
  <si>
    <t>62.77</t>
  </si>
  <si>
    <t>55.09</t>
  </si>
  <si>
    <t>22.26</t>
  </si>
  <si>
    <t>12611.52</t>
  </si>
  <si>
    <t>98.28</t>
  </si>
  <si>
    <t>54.06</t>
  </si>
  <si>
    <t>23.25</t>
  </si>
  <si>
    <t>11.77</t>
  </si>
  <si>
    <t>36.88</t>
  </si>
  <si>
    <t>24.47</t>
  </si>
  <si>
    <t>2.1</t>
  </si>
  <si>
    <t>153.89</t>
  </si>
  <si>
    <t>132.44</t>
  </si>
  <si>
    <t>2.3</t>
  </si>
  <si>
    <t>300.29</t>
  </si>
  <si>
    <t>3.35</t>
  </si>
  <si>
    <t>9.33</t>
  </si>
  <si>
    <t>1.68</t>
  </si>
  <si>
    <t>4.15</t>
  </si>
  <si>
    <t>5.93</t>
  </si>
  <si>
    <t>6.7</t>
  </si>
  <si>
    <t>13.64</t>
  </si>
  <si>
    <t>4.48</t>
  </si>
  <si>
    <t>131.11</t>
  </si>
  <si>
    <t>14.06</t>
  </si>
  <si>
    <t>21.43</t>
  </si>
  <si>
    <t>57.39</t>
  </si>
  <si>
    <t>3.65</t>
  </si>
  <si>
    <t>17.62</t>
  </si>
  <si>
    <t>9.99</t>
  </si>
  <si>
    <t>sto3 52</t>
  </si>
  <si>
    <t>22817.63</t>
  </si>
  <si>
    <t>185.66</t>
  </si>
  <si>
    <t>346.77</t>
  </si>
  <si>
    <t>12617.65</t>
  </si>
  <si>
    <t>340.06</t>
  </si>
  <si>
    <t>1016.62</t>
  </si>
  <si>
    <t>101.72</t>
  </si>
  <si>
    <t>32.5</t>
  </si>
  <si>
    <t>10.13</t>
  </si>
  <si>
    <t>4927.41</t>
  </si>
  <si>
    <t>54.5</t>
  </si>
  <si>
    <t>155.06</t>
  </si>
  <si>
    <t>14.18</t>
  </si>
  <si>
    <t>60.38</t>
  </si>
  <si>
    <t>7.16</t>
  </si>
  <si>
    <t>46.71</t>
  </si>
  <si>
    <t>22.74</t>
  </si>
  <si>
    <t>18080.23</t>
  </si>
  <si>
    <t>119.31</t>
  </si>
  <si>
    <t>65.49</t>
  </si>
  <si>
    <t>18.22</t>
  </si>
  <si>
    <t>13.27</t>
  </si>
  <si>
    <t>7.26</t>
  </si>
  <si>
    <t>45.1</t>
  </si>
  <si>
    <t>4.7</t>
  </si>
  <si>
    <t>2.22</t>
  </si>
  <si>
    <t>186.73</t>
  </si>
  <si>
    <t>3.14</t>
  </si>
  <si>
    <t>129.57</t>
  </si>
  <si>
    <t>257.6</t>
  </si>
  <si>
    <t>3.2</t>
  </si>
  <si>
    <t>15.78</t>
  </si>
  <si>
    <t>5.97</t>
  </si>
  <si>
    <t>6.83</t>
  </si>
  <si>
    <t>13.74</t>
  </si>
  <si>
    <t>4.53</t>
  </si>
  <si>
    <t>81.23</t>
  </si>
  <si>
    <t>14.21</t>
  </si>
  <si>
    <t>22.15</t>
  </si>
  <si>
    <t>89.76</t>
  </si>
  <si>
    <t>18.73</t>
  </si>
  <si>
    <t>2.25</t>
  </si>
  <si>
    <t>11.27</t>
  </si>
  <si>
    <t>3.52</t>
  </si>
  <si>
    <t>sto3 58</t>
  </si>
  <si>
    <t>21658.69</t>
  </si>
  <si>
    <t>188.29</t>
  </si>
  <si>
    <t>375.46</t>
  </si>
  <si>
    <t>15411.05</t>
  </si>
  <si>
    <t>389.06</t>
  </si>
  <si>
    <t>712.29</t>
  </si>
  <si>
    <t>104.69</t>
  </si>
  <si>
    <t>30.72</t>
  </si>
  <si>
    <t>10.22</t>
  </si>
  <si>
    <t>4795.85</t>
  </si>
  <si>
    <t>55.51</t>
  </si>
  <si>
    <t>157.73</t>
  </si>
  <si>
    <t>14.47</t>
  </si>
  <si>
    <t>7.36</t>
  </si>
  <si>
    <t>72.22</t>
  </si>
  <si>
    <t>24.31</t>
  </si>
  <si>
    <t>23481.82</t>
  </si>
  <si>
    <t>138.16</t>
  </si>
  <si>
    <t>75.63</t>
  </si>
  <si>
    <t>27.39</t>
  </si>
  <si>
    <t>12.62</t>
  </si>
  <si>
    <t>13.63</t>
  </si>
  <si>
    <t>7.45</t>
  </si>
  <si>
    <t>49.88</t>
  </si>
  <si>
    <t>68.34</t>
  </si>
  <si>
    <t>3.89</t>
  </si>
  <si>
    <t>2.26</t>
  </si>
  <si>
    <t>161.11</t>
  </si>
  <si>
    <t>125.87</t>
  </si>
  <si>
    <t>2.33</t>
  </si>
  <si>
    <t>263.11</t>
  </si>
  <si>
    <t>16.89</t>
  </si>
  <si>
    <t>4.29</t>
  </si>
  <si>
    <t>6.16</t>
  </si>
  <si>
    <t>4.6</t>
  </si>
  <si>
    <t>14.25</t>
  </si>
  <si>
    <t>4.68</t>
  </si>
  <si>
    <t>130.8</t>
  </si>
  <si>
    <t>14.74</t>
  </si>
  <si>
    <t>22.2</t>
  </si>
  <si>
    <t>4.14</t>
  </si>
  <si>
    <t>5.02</t>
  </si>
  <si>
    <t>47.77</t>
  </si>
  <si>
    <t>15.1</t>
  </si>
  <si>
    <t>2.11</t>
  </si>
  <si>
    <t>9.47</t>
  </si>
  <si>
    <t>sto3 64</t>
  </si>
  <si>
    <t>21167.98</t>
  </si>
  <si>
    <t>197.08</t>
  </si>
  <si>
    <t>416.2</t>
  </si>
  <si>
    <t>22685.15</t>
  </si>
  <si>
    <t>495.65</t>
  </si>
  <si>
    <t>733.31</t>
  </si>
  <si>
    <t>109.81</t>
  </si>
  <si>
    <t>42.41</t>
  </si>
  <si>
    <t>11.23</t>
  </si>
  <si>
    <t>4769.57</t>
  </si>
  <si>
    <t>58.76</t>
  </si>
  <si>
    <t>143.58</t>
  </si>
  <si>
    <t>15.22</t>
  </si>
  <si>
    <t>60.56</t>
  </si>
  <si>
    <t>7.85</t>
  </si>
  <si>
    <t>86.91</t>
  </si>
  <si>
    <t>25.58</t>
  </si>
  <si>
    <t>32528.14</t>
  </si>
  <si>
    <t>165.38</t>
  </si>
  <si>
    <t>90.02</t>
  </si>
  <si>
    <t>36.34</t>
  </si>
  <si>
    <t>13.23</t>
  </si>
  <si>
    <t>14.82</t>
  </si>
  <si>
    <t>7.75</t>
  </si>
  <si>
    <t>73.76</t>
  </si>
  <si>
    <t>5.59</t>
  </si>
  <si>
    <t>80.19</t>
  </si>
  <si>
    <t>2.35</t>
  </si>
  <si>
    <t>164.74</t>
  </si>
  <si>
    <t>3.07</t>
  </si>
  <si>
    <t>118.75</t>
  </si>
  <si>
    <t>2.31</t>
  </si>
  <si>
    <t>226.4</t>
  </si>
  <si>
    <t>27.31</t>
  </si>
  <si>
    <t>1.88</t>
  </si>
  <si>
    <t>4.82</t>
  </si>
  <si>
    <t>6.42</t>
  </si>
  <si>
    <t>7.18</t>
  </si>
  <si>
    <t>14.52</t>
  </si>
  <si>
    <t>4.79</t>
  </si>
  <si>
    <t>94.72</t>
  </si>
  <si>
    <t>15.01</t>
  </si>
  <si>
    <t>23.81</t>
  </si>
  <si>
    <t>3.67</t>
  </si>
  <si>
    <t>2.4</t>
  </si>
  <si>
    <t>46.4</t>
  </si>
  <si>
    <t>3.59</t>
  </si>
  <si>
    <t>16.72</t>
  </si>
  <si>
    <t>11.07</t>
  </si>
  <si>
    <t>sto3 70</t>
  </si>
  <si>
    <t>22167.93</t>
  </si>
  <si>
    <t>202.69</t>
  </si>
  <si>
    <t>399.08</t>
  </si>
  <si>
    <t>22569.57</t>
  </si>
  <si>
    <t>497.4</t>
  </si>
  <si>
    <t>1059.04</t>
  </si>
  <si>
    <t>19.54</t>
  </si>
  <si>
    <t>10.99</t>
  </si>
  <si>
    <t>4662.48</t>
  </si>
  <si>
    <t>59.09</t>
  </si>
  <si>
    <t>144.7</t>
  </si>
  <si>
    <t>15.41</t>
  </si>
  <si>
    <t>64.32</t>
  </si>
  <si>
    <t>7.98</t>
  </si>
  <si>
    <t>99.69</t>
  </si>
  <si>
    <t>26.01</t>
  </si>
  <si>
    <t>33157.51</t>
  </si>
  <si>
    <t>167.49</t>
  </si>
  <si>
    <t>91.02</t>
  </si>
  <si>
    <t>40.91</t>
  </si>
  <si>
    <t>13.35</t>
  </si>
  <si>
    <t>12.7</t>
  </si>
  <si>
    <t>107.68</t>
  </si>
  <si>
    <t>6.31</t>
  </si>
  <si>
    <t>59.94</t>
  </si>
  <si>
    <t>161.54</t>
  </si>
  <si>
    <t>123.52</t>
  </si>
  <si>
    <t>2.36</t>
  </si>
  <si>
    <t>228.41</t>
  </si>
  <si>
    <t>32.51</t>
  </si>
  <si>
    <t>1.93</t>
  </si>
  <si>
    <t>4.78</t>
  </si>
  <si>
    <t>6.52</t>
  </si>
  <si>
    <t>4.81</t>
  </si>
  <si>
    <t>7.3</t>
  </si>
  <si>
    <t>4.89</t>
  </si>
  <si>
    <t>122.27</t>
  </si>
  <si>
    <t>15.32</t>
  </si>
  <si>
    <t>23.88</t>
  </si>
  <si>
    <t>5.37</t>
  </si>
  <si>
    <t>27.66</t>
  </si>
  <si>
    <t>15.65</t>
  </si>
  <si>
    <t>8.08</t>
  </si>
  <si>
    <t>3.45</t>
  </si>
  <si>
    <t>sto3 74</t>
  </si>
  <si>
    <t>22800.61</t>
  </si>
  <si>
    <t>206.09</t>
  </si>
  <si>
    <t>429.37</t>
  </si>
  <si>
    <t>22349.21</t>
  </si>
  <si>
    <t>496.63</t>
  </si>
  <si>
    <t>663.39</t>
  </si>
  <si>
    <t>111.1</t>
  </si>
  <si>
    <t>10.8</t>
  </si>
  <si>
    <t>4876.1</t>
  </si>
  <si>
    <t>60.34</t>
  </si>
  <si>
    <t>152.73</t>
  </si>
  <si>
    <t>15.71</t>
  </si>
  <si>
    <t>67.84</t>
  </si>
  <si>
    <t>8.1</t>
  </si>
  <si>
    <t>108.86</t>
  </si>
  <si>
    <t>26.33</t>
  </si>
  <si>
    <t>31890.13</t>
  </si>
  <si>
    <t>164.31</t>
  </si>
  <si>
    <t>89.28</t>
  </si>
  <si>
    <t>48.36</t>
  </si>
  <si>
    <t>13.34</t>
  </si>
  <si>
    <t>16.22</t>
  </si>
  <si>
    <t>7.77</t>
  </si>
  <si>
    <t>94.82</t>
  </si>
  <si>
    <t>6.04</t>
  </si>
  <si>
    <t>43.88</t>
  </si>
  <si>
    <t>155.11</t>
  </si>
  <si>
    <t>132.05</t>
  </si>
  <si>
    <t>2.43</t>
  </si>
  <si>
    <t>248.88</t>
  </si>
  <si>
    <t>3.29</t>
  </si>
  <si>
    <t>31.74</t>
  </si>
  <si>
    <t>4.77</t>
  </si>
  <si>
    <t>4.75</t>
  </si>
  <si>
    <t>7.29</t>
  </si>
  <si>
    <t>14.85</t>
  </si>
  <si>
    <t>7.76</t>
  </si>
  <si>
    <t>193.38</t>
  </si>
  <si>
    <t>15.44</t>
  </si>
  <si>
    <t>23.62</t>
  </si>
  <si>
    <t>3.36</t>
  </si>
  <si>
    <t>27.08</t>
  </si>
  <si>
    <t>14.62</t>
  </si>
  <si>
    <t>6.2</t>
  </si>
  <si>
    <t>3.38</t>
  </si>
  <si>
    <t>sto3 80</t>
  </si>
  <si>
    <t>22493.46</t>
  </si>
  <si>
    <t>202.19</t>
  </si>
  <si>
    <t>398.24</t>
  </si>
  <si>
    <t>18716.68</t>
  </si>
  <si>
    <t>450.51</t>
  </si>
  <si>
    <t>623.26</t>
  </si>
  <si>
    <t>111.04</t>
  </si>
  <si>
    <t>28.29</t>
  </si>
  <si>
    <t>10.88</t>
  </si>
  <si>
    <t>4906.49</t>
  </si>
  <si>
    <t>59.81</t>
  </si>
  <si>
    <t>148.52</t>
  </si>
  <si>
    <t>15.53</t>
  </si>
  <si>
    <t>65.72</t>
  </si>
  <si>
    <t>7.97</t>
  </si>
  <si>
    <t>91.9</t>
  </si>
  <si>
    <t>25.18</t>
  </si>
  <si>
    <t>29314.46</t>
  </si>
  <si>
    <t>155.55</t>
  </si>
  <si>
    <t>84.73</t>
  </si>
  <si>
    <t>34.91</t>
  </si>
  <si>
    <t>12.96</t>
  </si>
  <si>
    <t>11.98</t>
  </si>
  <si>
    <t>84.85</t>
  </si>
  <si>
    <t>5.75</t>
  </si>
  <si>
    <t>27.28</t>
  </si>
  <si>
    <t>2.19</t>
  </si>
  <si>
    <t>154.22</t>
  </si>
  <si>
    <t>120.73</t>
  </si>
  <si>
    <t>235.89</t>
  </si>
  <si>
    <t>23.37</t>
  </si>
  <si>
    <t>1.83</t>
  </si>
  <si>
    <t>4.62</t>
  </si>
  <si>
    <t>4.35</t>
  </si>
  <si>
    <t>6.24</t>
  </si>
  <si>
    <t>4.67</t>
  </si>
  <si>
    <t>14.31</t>
  </si>
  <si>
    <t>4.73</t>
  </si>
  <si>
    <t>102.75</t>
  </si>
  <si>
    <t>14.83</t>
  </si>
  <si>
    <t>23.21</t>
  </si>
  <si>
    <t>5.14</t>
  </si>
  <si>
    <t>28.13</t>
  </si>
  <si>
    <t>14.36</t>
  </si>
  <si>
    <t>2.08</t>
  </si>
  <si>
    <t>6.08</t>
  </si>
  <si>
    <t>3.32</t>
  </si>
  <si>
    <t>sto3 10</t>
  </si>
  <si>
    <t>16823.63</t>
  </si>
  <si>
    <t>320.04</t>
  </si>
  <si>
    <t>3849.48</t>
  </si>
  <si>
    <t>199.42</t>
  </si>
  <si>
    <t>150.81</t>
  </si>
  <si>
    <t>19.87</t>
  </si>
  <si>
    <t>8.69</t>
  </si>
  <si>
    <t>4888.84</t>
  </si>
  <si>
    <t>53.35</t>
  </si>
  <si>
    <t>13.6</t>
  </si>
  <si>
    <t>24.64</t>
  </si>
  <si>
    <t>6.79</t>
  </si>
  <si>
    <t>29.58</t>
  </si>
  <si>
    <t>16445.03</t>
  </si>
  <si>
    <t>109.42</t>
  </si>
  <si>
    <t>59.97</t>
  </si>
  <si>
    <t>16.85</t>
  </si>
  <si>
    <t>10.05</t>
  </si>
  <si>
    <t>57.46</t>
  </si>
  <si>
    <t>20.68</t>
  </si>
  <si>
    <t>2.75</t>
  </si>
  <si>
    <t>1.9</t>
  </si>
  <si>
    <t>106.96</t>
  </si>
  <si>
    <t>88.58</t>
  </si>
  <si>
    <t>1.87</t>
  </si>
  <si>
    <t>423.22</t>
  </si>
  <si>
    <t>16.28</t>
  </si>
  <si>
    <t>1.76</t>
  </si>
  <si>
    <t>4.02</t>
  </si>
  <si>
    <t>5.41</t>
  </si>
  <si>
    <t>11.95</t>
  </si>
  <si>
    <t>4.01</t>
  </si>
  <si>
    <t>18.05</t>
  </si>
  <si>
    <t>20.9</t>
  </si>
  <si>
    <t>2.84</t>
  </si>
  <si>
    <t>4.66</t>
  </si>
  <si>
    <t>35.31</t>
  </si>
  <si>
    <t>12.24</t>
  </si>
  <si>
    <t>sto3 14</t>
  </si>
  <si>
    <t>18997.03</t>
  </si>
  <si>
    <t>160.25</t>
  </si>
  <si>
    <t>299.88</t>
  </si>
  <si>
    <t>5414.88</t>
  </si>
  <si>
    <t>218.1</t>
  </si>
  <si>
    <t>447.17</t>
  </si>
  <si>
    <t>95.21</t>
  </si>
  <si>
    <t>17.95</t>
  </si>
  <si>
    <t>8.46</t>
  </si>
  <si>
    <t>4684.16</t>
  </si>
  <si>
    <t>49.66</t>
  </si>
  <si>
    <t>123.7</t>
  </si>
  <si>
    <t>38.11</t>
  </si>
  <si>
    <t>6.54</t>
  </si>
  <si>
    <t>28.77</t>
  </si>
  <si>
    <t>13907.78</t>
  </si>
  <si>
    <t>101.09</t>
  </si>
  <si>
    <t>55.42</t>
  </si>
  <si>
    <t>17.02</t>
  </si>
  <si>
    <t>10.2</t>
  </si>
  <si>
    <t>32.89</t>
  </si>
  <si>
    <t>4.2</t>
  </si>
  <si>
    <t>19.59</t>
  </si>
  <si>
    <t>3.11</t>
  </si>
  <si>
    <t>138.02</t>
  </si>
  <si>
    <t>111.31</t>
  </si>
  <si>
    <t>365.68</t>
  </si>
  <si>
    <t>3.56</t>
  </si>
  <si>
    <t>17.24</t>
  </si>
  <si>
    <t>4.03</t>
  </si>
  <si>
    <t>3.72</t>
  </si>
  <si>
    <t>5.38</t>
  </si>
  <si>
    <t>5.88</t>
  </si>
  <si>
    <t>11.87</t>
  </si>
  <si>
    <t>20.91</t>
  </si>
  <si>
    <t>4.64</t>
  </si>
  <si>
    <t>56.95</t>
  </si>
  <si>
    <t>13.43</t>
  </si>
  <si>
    <t>sto3 18</t>
  </si>
  <si>
    <t>19918.83</t>
  </si>
  <si>
    <t>169.89</t>
  </si>
  <si>
    <t>302.28</t>
  </si>
  <si>
    <t>5677.59</t>
  </si>
  <si>
    <t>231.32</t>
  </si>
  <si>
    <t>424.07</t>
  </si>
  <si>
    <t>98.35</t>
  </si>
  <si>
    <t>13.01</t>
  </si>
  <si>
    <t>5054.02</t>
  </si>
  <si>
    <t>53.13</t>
  </si>
  <si>
    <t>130.08</t>
  </si>
  <si>
    <t>43.93</t>
  </si>
  <si>
    <t>29.96</t>
  </si>
  <si>
    <t>16527.2</t>
  </si>
  <si>
    <t>110.66</t>
  </si>
  <si>
    <t>60.89</t>
  </si>
  <si>
    <t>17.07</t>
  </si>
  <si>
    <t>39.15</t>
  </si>
  <si>
    <t>25.26</t>
  </si>
  <si>
    <t>2.71</t>
  </si>
  <si>
    <t>1.99</t>
  </si>
  <si>
    <t>144.59</t>
  </si>
  <si>
    <t>122.6</t>
  </si>
  <si>
    <t>344.18</t>
  </si>
  <si>
    <t>3.5</t>
  </si>
  <si>
    <t>17.2</t>
  </si>
  <si>
    <t>5.39</t>
  </si>
  <si>
    <t>3.9</t>
  </si>
  <si>
    <t>5.92</t>
  </si>
  <si>
    <t>11.99</t>
  </si>
  <si>
    <t>18.15</t>
  </si>
  <si>
    <t>21.39</t>
  </si>
  <si>
    <t>27.34</t>
  </si>
  <si>
    <t>12.09</t>
  </si>
  <si>
    <t>1.86</t>
  </si>
  <si>
    <t>sto3 24</t>
  </si>
  <si>
    <t>18928.84</t>
  </si>
  <si>
    <t>161.03</t>
  </si>
  <si>
    <t>316.7</t>
  </si>
  <si>
    <t>3963.09</t>
  </si>
  <si>
    <t>192.79</t>
  </si>
  <si>
    <t>183.81</t>
  </si>
  <si>
    <t>96.99</t>
  </si>
  <si>
    <t>25.77</t>
  </si>
  <si>
    <t>8.66</t>
  </si>
  <si>
    <t>4950.4</t>
  </si>
  <si>
    <t>51.32</t>
  </si>
  <si>
    <t>136.92</t>
  </si>
  <si>
    <t>13.19</t>
  </si>
  <si>
    <t>34.6</t>
  </si>
  <si>
    <t>6.57</t>
  </si>
  <si>
    <t>31.14</t>
  </si>
  <si>
    <t>14182.21</t>
  </si>
  <si>
    <t>102.17</t>
  </si>
  <si>
    <t>56.39</t>
  </si>
  <si>
    <t>17.01</t>
  </si>
  <si>
    <t>10.17</t>
  </si>
  <si>
    <t>31.21</t>
  </si>
  <si>
    <t>2.59</t>
  </si>
  <si>
    <t>128.24</t>
  </si>
  <si>
    <t>2.52</t>
  </si>
  <si>
    <t>108.83</t>
  </si>
  <si>
    <t>365.26</t>
  </si>
  <si>
    <t>15.52</t>
  </si>
  <si>
    <t>3.98</t>
  </si>
  <si>
    <t>5.77</t>
  </si>
  <si>
    <t>13.03</t>
  </si>
  <si>
    <t>19.76</t>
  </si>
  <si>
    <t>20.92</t>
  </si>
  <si>
    <t>24.92</t>
  </si>
  <si>
    <t>2.7</t>
  </si>
  <si>
    <t>14.13</t>
  </si>
  <si>
    <t>4.3</t>
  </si>
  <si>
    <t>sto3 30</t>
  </si>
  <si>
    <t>22045.26</t>
  </si>
  <si>
    <t>176.96</t>
  </si>
  <si>
    <t>303.97</t>
  </si>
  <si>
    <t>2278.31</t>
  </si>
  <si>
    <t>159.04</t>
  </si>
  <si>
    <t>592.69</t>
  </si>
  <si>
    <t>98.78</t>
  </si>
  <si>
    <t>31.59</t>
  </si>
  <si>
    <t>9.22</t>
  </si>
  <si>
    <t>5357.23</t>
  </si>
  <si>
    <t>54.4</t>
  </si>
  <si>
    <t>158.84</t>
  </si>
  <si>
    <t>14.02</t>
  </si>
  <si>
    <t>53.19</t>
  </si>
  <si>
    <t>6.95</t>
  </si>
  <si>
    <t>29.17</t>
  </si>
  <si>
    <t>15502.17</t>
  </si>
  <si>
    <t>108.04</t>
  </si>
  <si>
    <t>59.59</t>
  </si>
  <si>
    <t>17.45</t>
  </si>
  <si>
    <t>10.31</t>
  </si>
  <si>
    <t>43.42</t>
  </si>
  <si>
    <t>20.69</t>
  </si>
  <si>
    <t>2.93</t>
  </si>
  <si>
    <t>158.08</t>
  </si>
  <si>
    <t>135.29</t>
  </si>
  <si>
    <t>327.49</t>
  </si>
  <si>
    <t>3.46</t>
  </si>
  <si>
    <t>14.59</t>
  </si>
  <si>
    <t>5.05</t>
  </si>
  <si>
    <t>3.63</t>
  </si>
  <si>
    <t>5.47</t>
  </si>
  <si>
    <t>11.19</t>
  </si>
  <si>
    <t>3.81</t>
  </si>
  <si>
    <t>17.08</t>
  </si>
  <si>
    <t>24.65</t>
  </si>
  <si>
    <t>3.01</t>
  </si>
  <si>
    <t>42.35</t>
  </si>
  <si>
    <t>17.13</t>
  </si>
  <si>
    <t>sto3 42</t>
  </si>
  <si>
    <t>20264.02</t>
  </si>
  <si>
    <t>170.86</t>
  </si>
  <si>
    <t>321.47</t>
  </si>
  <si>
    <t>2508.67</t>
  </si>
  <si>
    <t>165.76</t>
  </si>
  <si>
    <t>607.42</t>
  </si>
  <si>
    <t>97.61</t>
  </si>
  <si>
    <t>20.06</t>
  </si>
  <si>
    <t>8.99</t>
  </si>
  <si>
    <t>4798.76</t>
  </si>
  <si>
    <t>52.08</t>
  </si>
  <si>
    <t>165.37</t>
  </si>
  <si>
    <t>43.01</t>
  </si>
  <si>
    <t>30.38</t>
  </si>
  <si>
    <t>17240.17</t>
  </si>
  <si>
    <t>113.3</t>
  </si>
  <si>
    <t>61.66</t>
  </si>
  <si>
    <t>17.22</t>
  </si>
  <si>
    <t>41.67</t>
  </si>
  <si>
    <t>3.19</t>
  </si>
  <si>
    <t>1.97</t>
  </si>
  <si>
    <t>140.21</t>
  </si>
  <si>
    <t>2.65</t>
  </si>
  <si>
    <t>120.39</t>
  </si>
  <si>
    <t>302.44</t>
  </si>
  <si>
    <t>11.79</t>
  </si>
  <si>
    <t>1.67</t>
  </si>
  <si>
    <t>4.21</t>
  </si>
  <si>
    <t>3.88</t>
  </si>
  <si>
    <t>5.56</t>
  </si>
  <si>
    <t>12.39</t>
  </si>
  <si>
    <t>18.75</t>
  </si>
  <si>
    <t>21.01</t>
  </si>
  <si>
    <t>2.92</t>
  </si>
  <si>
    <t>56.59</t>
  </si>
  <si>
    <t>3.58</t>
  </si>
  <si>
    <t>14.51</t>
  </si>
  <si>
    <t>sto3 78</t>
  </si>
  <si>
    <t>21414.3</t>
  </si>
  <si>
    <t>199.52</t>
  </si>
  <si>
    <t>422.52</t>
  </si>
  <si>
    <t>23044.9</t>
  </si>
  <si>
    <t>503.05</t>
  </si>
  <si>
    <t>1351.58</t>
  </si>
  <si>
    <t>105.72</t>
  </si>
  <si>
    <t>21.72</t>
  </si>
  <si>
    <t>4614.41</t>
  </si>
  <si>
    <t>58.35</t>
  </si>
  <si>
    <t>153.32</t>
  </si>
  <si>
    <t>15.27</t>
  </si>
  <si>
    <t>63.54</t>
  </si>
  <si>
    <t>37.52</t>
  </si>
  <si>
    <t>24.08</t>
  </si>
  <si>
    <t>36021.7</t>
  </si>
  <si>
    <t>173.04</t>
  </si>
  <si>
    <t>94.02</t>
  </si>
  <si>
    <t>19.44</t>
  </si>
  <si>
    <t>11.25</t>
  </si>
  <si>
    <t>87.76</t>
  </si>
  <si>
    <t>5.85</t>
  </si>
  <si>
    <t>37.94</t>
  </si>
  <si>
    <t>161.13</t>
  </si>
  <si>
    <t>124.92</t>
  </si>
  <si>
    <t>249.31</t>
  </si>
  <si>
    <t>34.45</t>
  </si>
  <si>
    <t>6.62</t>
  </si>
  <si>
    <t>20.49</t>
  </si>
  <si>
    <t>23.42</t>
  </si>
  <si>
    <t>5.2</t>
  </si>
  <si>
    <t>28.59</t>
  </si>
  <si>
    <t>4.96</t>
  </si>
  <si>
    <t>sto3 84</t>
  </si>
  <si>
    <t>20861.78</t>
  </si>
  <si>
    <t>194.35</t>
  </si>
  <si>
    <t>391.38</t>
  </si>
  <si>
    <t>22657.35</t>
  </si>
  <si>
    <t>491.89</t>
  </si>
  <si>
    <t>1161.06</t>
  </si>
  <si>
    <t>105.35</t>
  </si>
  <si>
    <t>19.21</t>
  </si>
  <si>
    <t>10.65</t>
  </si>
  <si>
    <t>4711.25</t>
  </si>
  <si>
    <t>58.33</t>
  </si>
  <si>
    <t>155.37</t>
  </si>
  <si>
    <t>15.25</t>
  </si>
  <si>
    <t>64.87</t>
  </si>
  <si>
    <t>7.87</t>
  </si>
  <si>
    <t>34.7</t>
  </si>
  <si>
    <t>32882.43</t>
  </si>
  <si>
    <t>164.78</t>
  </si>
  <si>
    <t>150.03</t>
  </si>
  <si>
    <t>60.4</t>
  </si>
  <si>
    <t>19.23</t>
  </si>
  <si>
    <t>11.33</t>
  </si>
  <si>
    <t>111.83</t>
  </si>
  <si>
    <t>28.64</t>
  </si>
  <si>
    <t>167.4</t>
  </si>
  <si>
    <t>3.04</t>
  </si>
  <si>
    <t>129.52</t>
  </si>
  <si>
    <t>2.38</t>
  </si>
  <si>
    <t>238.23</t>
  </si>
  <si>
    <t>19.66</t>
  </si>
  <si>
    <t>1.8</t>
  </si>
  <si>
    <t>4.09</t>
  </si>
  <si>
    <t>6.36</t>
  </si>
  <si>
    <t>12.82</t>
  </si>
  <si>
    <t>4.32</t>
  </si>
  <si>
    <t>19.42</t>
  </si>
  <si>
    <t>23.41</t>
  </si>
  <si>
    <t>5.24</t>
  </si>
  <si>
    <t>29.55</t>
  </si>
  <si>
    <t>15.62</t>
  </si>
  <si>
    <t>2.14</t>
  </si>
  <si>
    <t>5.01</t>
  </si>
  <si>
    <t>sto3 86</t>
  </si>
  <si>
    <t>21413.22</t>
  </si>
  <si>
    <t>195.78</t>
  </si>
  <si>
    <t>398.06</t>
  </si>
  <si>
    <t>21023.08</t>
  </si>
  <si>
    <t>472.11</t>
  </si>
  <si>
    <t>1009.48</t>
  </si>
  <si>
    <t>106.75</t>
  </si>
  <si>
    <t>31.29</t>
  </si>
  <si>
    <t>10.87</t>
  </si>
  <si>
    <t>4596.09</t>
  </si>
  <si>
    <t>57.59</t>
  </si>
  <si>
    <t>151.52</t>
  </si>
  <si>
    <t>15.09</t>
  </si>
  <si>
    <t>61.69</t>
  </si>
  <si>
    <t>7.83</t>
  </si>
  <si>
    <t>104.95</t>
  </si>
  <si>
    <t>25.79</t>
  </si>
  <si>
    <t>29553.88</t>
  </si>
  <si>
    <t>157.1</t>
  </si>
  <si>
    <t>85.47</t>
  </si>
  <si>
    <t>38.17</t>
  </si>
  <si>
    <t>13.08</t>
  </si>
  <si>
    <t>14.73</t>
  </si>
  <si>
    <t>7.66</t>
  </si>
  <si>
    <t>78.78</t>
  </si>
  <si>
    <t>5.65</t>
  </si>
  <si>
    <t>27.5</t>
  </si>
  <si>
    <t>2.9</t>
  </si>
  <si>
    <t>2.2</t>
  </si>
  <si>
    <t>150.85</t>
  </si>
  <si>
    <t>124.5</t>
  </si>
  <si>
    <t>248.23</t>
  </si>
  <si>
    <t>6.38</t>
  </si>
  <si>
    <t>4.74</t>
  </si>
  <si>
    <t>7.19</t>
  </si>
  <si>
    <t>157.29</t>
  </si>
  <si>
    <t>15.18</t>
  </si>
  <si>
    <t>23.13</t>
  </si>
  <si>
    <t>24.86</t>
  </si>
  <si>
    <t>14.41</t>
  </si>
  <si>
    <t>4.9</t>
  </si>
  <si>
    <t>sto3 90</t>
  </si>
  <si>
    <t>22078.05</t>
  </si>
  <si>
    <t>201.17</t>
  </si>
  <si>
    <t>403.21</t>
  </si>
  <si>
    <t>18767.41</t>
  </si>
  <si>
    <t>453.07</t>
  </si>
  <si>
    <t>735.82</t>
  </si>
  <si>
    <t>109.29</t>
  </si>
  <si>
    <t>16.45</t>
  </si>
  <si>
    <t>10.62</t>
  </si>
  <si>
    <t>4878.65</t>
  </si>
  <si>
    <t>59.85</t>
  </si>
  <si>
    <t>132.86</t>
  </si>
  <si>
    <t>15.42</t>
  </si>
  <si>
    <t>70.64</t>
  </si>
  <si>
    <t>73.17</t>
  </si>
  <si>
    <t>32130.96</t>
  </si>
  <si>
    <t>161.81</t>
  </si>
  <si>
    <t>103.28</t>
  </si>
  <si>
    <t>59.06</t>
  </si>
  <si>
    <t>19.14</t>
  </si>
  <si>
    <t>13.37</t>
  </si>
  <si>
    <t>7.54</t>
  </si>
  <si>
    <t>86.15</t>
  </si>
  <si>
    <t>5.73</t>
  </si>
  <si>
    <t>36.4</t>
  </si>
  <si>
    <t>2.17</t>
  </si>
  <si>
    <t>153.99</t>
  </si>
  <si>
    <t>2.91</t>
  </si>
  <si>
    <t>118.08</t>
  </si>
  <si>
    <t>240.82</t>
  </si>
  <si>
    <t>19.38</t>
  </si>
  <si>
    <t>4.59</t>
  </si>
  <si>
    <t>6.17</t>
  </si>
  <si>
    <t>4.57</t>
  </si>
  <si>
    <t>6.89</t>
  </si>
  <si>
    <t>21.29</t>
  </si>
  <si>
    <t>22.69</t>
  </si>
  <si>
    <t>3.21</t>
  </si>
  <si>
    <t>4.98</t>
  </si>
  <si>
    <t>25.55</t>
  </si>
  <si>
    <t>13.58</t>
  </si>
  <si>
    <t>sto3 92</t>
  </si>
  <si>
    <t>21820.4</t>
  </si>
  <si>
    <t>204.19</t>
  </si>
  <si>
    <t>389.6</t>
  </si>
  <si>
    <t>20657.16</t>
  </si>
  <si>
    <t>484.18</t>
  </si>
  <si>
    <t>774.75</t>
  </si>
  <si>
    <t>110.25</t>
  </si>
  <si>
    <t>26.24</t>
  </si>
  <si>
    <t>11.02</t>
  </si>
  <si>
    <t>4700.36</t>
  </si>
  <si>
    <t>60.11</t>
  </si>
  <si>
    <t>156.54</t>
  </si>
  <si>
    <t>15.74</t>
  </si>
  <si>
    <t>72.87</t>
  </si>
  <si>
    <t>8.18</t>
  </si>
  <si>
    <t>115.5</t>
  </si>
  <si>
    <t>26.63</t>
  </si>
  <si>
    <t>33997.11</t>
  </si>
  <si>
    <t>170.3</t>
  </si>
  <si>
    <t>92.09</t>
  </si>
  <si>
    <t>35.79</t>
  </si>
  <si>
    <t>13.28</t>
  </si>
  <si>
    <t>14.04</t>
  </si>
  <si>
    <t>7.78</t>
  </si>
  <si>
    <t>99.64</t>
  </si>
  <si>
    <t>32.76</t>
  </si>
  <si>
    <t>151.71</t>
  </si>
  <si>
    <t>117.57</t>
  </si>
  <si>
    <t>226.77</t>
  </si>
  <si>
    <t>16.63</t>
  </si>
  <si>
    <t>4.85</t>
  </si>
  <si>
    <t>6.53</t>
  </si>
  <si>
    <t>7.5</t>
  </si>
  <si>
    <t>15.19</t>
  </si>
  <si>
    <t>8.17</t>
  </si>
  <si>
    <t>193.47</t>
  </si>
  <si>
    <t>15.77</t>
  </si>
  <si>
    <t>23.35</t>
  </si>
  <si>
    <t>3.43</t>
  </si>
  <si>
    <t>5.43</t>
  </si>
  <si>
    <t>28.8</t>
  </si>
  <si>
    <t>12.89</t>
  </si>
  <si>
    <t>sto3 96</t>
  </si>
  <si>
    <t>22143.58</t>
  </si>
  <si>
    <t>202.46</t>
  </si>
  <si>
    <t>411.46</t>
  </si>
  <si>
    <t>18317.05</t>
  </si>
  <si>
    <t>450.02</t>
  </si>
  <si>
    <t>981.32</t>
  </si>
  <si>
    <t>107.97</t>
  </si>
  <si>
    <t>18.35</t>
  </si>
  <si>
    <t>10.73</t>
  </si>
  <si>
    <t>4745.39</t>
  </si>
  <si>
    <t>59.28</t>
  </si>
  <si>
    <t>143.01</t>
  </si>
  <si>
    <t>15.39</t>
  </si>
  <si>
    <t>63.11</t>
  </si>
  <si>
    <t>7.95</t>
  </si>
  <si>
    <t>24.14</t>
  </si>
  <si>
    <t>31342.45</t>
  </si>
  <si>
    <t>159.07</t>
  </si>
  <si>
    <t>86.92</t>
  </si>
  <si>
    <t>12.77</t>
  </si>
  <si>
    <t>12.55</t>
  </si>
  <si>
    <t>7.51</t>
  </si>
  <si>
    <t>83.23</t>
  </si>
  <si>
    <t>33.84</t>
  </si>
  <si>
    <t>153.68</t>
  </si>
  <si>
    <t>2.89</t>
  </si>
  <si>
    <t>120.16</t>
  </si>
  <si>
    <t>230.02</t>
  </si>
  <si>
    <t>3.09</t>
  </si>
  <si>
    <t>13.42</t>
  </si>
  <si>
    <t>6.15</t>
  </si>
  <si>
    <t>13.91</t>
  </si>
  <si>
    <t>4.58</t>
  </si>
  <si>
    <t>21.08</t>
  </si>
  <si>
    <t>22.79</t>
  </si>
  <si>
    <t>27.02</t>
  </si>
  <si>
    <t>2.95</t>
  </si>
  <si>
    <t>2.02</t>
  </si>
  <si>
    <t>sto3 98</t>
  </si>
  <si>
    <t>21989.11</t>
  </si>
  <si>
    <t>198.54</t>
  </si>
  <si>
    <t>377.01</t>
  </si>
  <si>
    <t>17809.14</t>
  </si>
  <si>
    <t>436.78</t>
  </si>
  <si>
    <t>779.58</t>
  </si>
  <si>
    <t>110.53</t>
  </si>
  <si>
    <t>16.12</t>
  </si>
  <si>
    <t>5116.58</t>
  </si>
  <si>
    <t>60.12</t>
  </si>
  <si>
    <t>143.2</t>
  </si>
  <si>
    <t>15.47</t>
  </si>
  <si>
    <t>63.38</t>
  </si>
  <si>
    <t>7.88</t>
  </si>
  <si>
    <t>112.65</t>
  </si>
  <si>
    <t>25.59</t>
  </si>
  <si>
    <t>27805.9</t>
  </si>
  <si>
    <t>151.01</t>
  </si>
  <si>
    <t>82.41</t>
  </si>
  <si>
    <t>32.25</t>
  </si>
  <si>
    <t>12.81</t>
  </si>
  <si>
    <t>13.66</t>
  </si>
  <si>
    <t>79.05</t>
  </si>
  <si>
    <t>26.17</t>
  </si>
  <si>
    <t>2.21</t>
  </si>
  <si>
    <t>152.19</t>
  </si>
  <si>
    <t>116.04</t>
  </si>
  <si>
    <t>246.39</t>
  </si>
  <si>
    <t>4.69</t>
  </si>
  <si>
    <t>6.74</t>
  </si>
  <si>
    <t>178.89</t>
  </si>
  <si>
    <t>22.76</t>
  </si>
  <si>
    <t>5.08</t>
  </si>
  <si>
    <t>29.46</t>
  </si>
  <si>
    <t>4.83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</si>
</sst>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/>
    <xf numFmtId="0" fontId="6" fillId="0" borderId="0" xfId="0" applyFont="1" applyAlignment="1"/>
    <xf numFmtId="0" fontId="6" fillId="0" borderId="0" xfId="0" applyFont="1" applyAlignment="1">
      <alignment horizontal="right"/>
    </xf>
    <xf numFmtId="0" fontId="0" fillId="0" borderId="0" xfId="0"/>
    <xf numFmtId="0" fontId="7" fillId="3" borderId="0" xfId="0" applyFont="1" applyFill="1" applyAlignment="1">
      <alignment vertical="center"/>
    </xf>
    <xf numFmtId="0" fontId="0" fillId="0" borderId="0" xfId="0" quotePrefix="1"/>
    <xf numFmtId="0" fontId="9" fillId="2" borderId="1" xfId="0" applyFont="1" applyFill="1" applyBorder="1" applyAlignment="1">
      <alignment vertical="center"/>
    </xf>
    <xf numFmtId="0" fontId="10" fillId="0" borderId="0" xfId="0" applyFont="1"/>
    <xf numFmtId="0" fontId="1" fillId="0" borderId="0" xfId="0" applyFont="1"/>
    <xf numFmtId="0" fontId="5" fillId="2" borderId="0" xfId="0" applyFont="1" applyFill="1"/>
    <xf numFmtId="0" fontId="6" fillId="0" borderId="0" xfId="0" applyFont="1"/>
    <xf numFmtId="0" fontId="11" fillId="4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right" wrapText="1"/>
    </xf>
    <xf numFmtId="0" fontId="10" fillId="0" borderId="2" xfId="0" applyFont="1" applyBorder="1" applyAlignment="1">
      <alignment wrapText="1"/>
    </xf>
    <xf numFmtId="0" fontId="1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CCO0!$BM$1</c:f>
              <c:strCache>
                <c:ptCount val="1"/>
                <c:pt idx="0">
                  <c:v>Pb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CCO0!$A$2:$A$1000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CCO0!$BM$2:$BM$1000</c:f>
              <c:numCache>
                <c:formatCode>General</c:formatCode>
                <c:ptCount val="999"/>
                <c:pt idx="0">
                  <c:v>71.400000000000006</c:v>
                </c:pt>
                <c:pt idx="1">
                  <c:v>75.680000000000007</c:v>
                </c:pt>
                <c:pt idx="2">
                  <c:v>75.48</c:v>
                </c:pt>
                <c:pt idx="3">
                  <c:v>68.55</c:v>
                </c:pt>
                <c:pt idx="4">
                  <c:v>70.31</c:v>
                </c:pt>
                <c:pt idx="5">
                  <c:v>80.27</c:v>
                </c:pt>
                <c:pt idx="6">
                  <c:v>82.17</c:v>
                </c:pt>
                <c:pt idx="7">
                  <c:v>80.459999999999994</c:v>
                </c:pt>
                <c:pt idx="8">
                  <c:v>86.91</c:v>
                </c:pt>
                <c:pt idx="9">
                  <c:v>84.07</c:v>
                </c:pt>
                <c:pt idx="10">
                  <c:v>83.74</c:v>
                </c:pt>
                <c:pt idx="11">
                  <c:v>95.83</c:v>
                </c:pt>
                <c:pt idx="12">
                  <c:v>89.38</c:v>
                </c:pt>
                <c:pt idx="13">
                  <c:v>83.56</c:v>
                </c:pt>
                <c:pt idx="14">
                  <c:v>91.57</c:v>
                </c:pt>
                <c:pt idx="15">
                  <c:v>86.02</c:v>
                </c:pt>
                <c:pt idx="16">
                  <c:v>105.02</c:v>
                </c:pt>
                <c:pt idx="17">
                  <c:v>101.73</c:v>
                </c:pt>
                <c:pt idx="18">
                  <c:v>91.64</c:v>
                </c:pt>
                <c:pt idx="19">
                  <c:v>91.2</c:v>
                </c:pt>
                <c:pt idx="20">
                  <c:v>92.57</c:v>
                </c:pt>
                <c:pt idx="21">
                  <c:v>96.19</c:v>
                </c:pt>
                <c:pt idx="22">
                  <c:v>109.03</c:v>
                </c:pt>
                <c:pt idx="23">
                  <c:v>102.56</c:v>
                </c:pt>
                <c:pt idx="24">
                  <c:v>53.46</c:v>
                </c:pt>
                <c:pt idx="25">
                  <c:v>88.68</c:v>
                </c:pt>
                <c:pt idx="26">
                  <c:v>100.74</c:v>
                </c:pt>
                <c:pt idx="27">
                  <c:v>110.39</c:v>
                </c:pt>
                <c:pt idx="28">
                  <c:v>113.65</c:v>
                </c:pt>
                <c:pt idx="29">
                  <c:v>94.19</c:v>
                </c:pt>
                <c:pt idx="30">
                  <c:v>89.77</c:v>
                </c:pt>
                <c:pt idx="31">
                  <c:v>120.8</c:v>
                </c:pt>
                <c:pt idx="32">
                  <c:v>120.34</c:v>
                </c:pt>
                <c:pt idx="33">
                  <c:v>113.16</c:v>
                </c:pt>
                <c:pt idx="34">
                  <c:v>123.47</c:v>
                </c:pt>
                <c:pt idx="35">
                  <c:v>92.28</c:v>
                </c:pt>
                <c:pt idx="36">
                  <c:v>112.12</c:v>
                </c:pt>
                <c:pt idx="37">
                  <c:v>106.46</c:v>
                </c:pt>
                <c:pt idx="38">
                  <c:v>122.09</c:v>
                </c:pt>
                <c:pt idx="39">
                  <c:v>103.35</c:v>
                </c:pt>
                <c:pt idx="40">
                  <c:v>117.27</c:v>
                </c:pt>
                <c:pt idx="41">
                  <c:v>100.97</c:v>
                </c:pt>
                <c:pt idx="42">
                  <c:v>99.04</c:v>
                </c:pt>
                <c:pt idx="43">
                  <c:v>97.97</c:v>
                </c:pt>
                <c:pt idx="44">
                  <c:v>93.06</c:v>
                </c:pt>
                <c:pt idx="45">
                  <c:v>91.05</c:v>
                </c:pt>
                <c:pt idx="46">
                  <c:v>103.4</c:v>
                </c:pt>
                <c:pt idx="47">
                  <c:v>72.47</c:v>
                </c:pt>
                <c:pt idx="48">
                  <c:v>78.05</c:v>
                </c:pt>
                <c:pt idx="49">
                  <c:v>64.59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AD-4F4D-A276-221A8025C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69679"/>
        <c:axId val="1252085071"/>
      </c:scatterChart>
      <c:valAx>
        <c:axId val="125206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2085071"/>
        <c:crosses val="autoZero"/>
        <c:crossBetween val="midCat"/>
      </c:valAx>
      <c:valAx>
        <c:axId val="125208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206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CCO0!$BC$1</c:f>
              <c:strCache>
                <c:ptCount val="1"/>
                <c:pt idx="0">
                  <c:v>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CCO0!$A$2:$A$1000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CCO0!$BC$2:$BC$1000</c:f>
              <c:numCache>
                <c:formatCode>General</c:formatCode>
                <c:ptCount val="999"/>
                <c:pt idx="0">
                  <c:v>5.0999999999999996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4.68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5.78</c:v>
                </c:pt>
                <c:pt idx="11">
                  <c:v>13.43</c:v>
                </c:pt>
                <c:pt idx="12">
                  <c:v>0</c:v>
                </c:pt>
                <c:pt idx="13">
                  <c:v>22.2</c:v>
                </c:pt>
                <c:pt idx="14">
                  <c:v>5.85</c:v>
                </c:pt>
                <c:pt idx="15">
                  <c:v>25.97</c:v>
                </c:pt>
                <c:pt idx="16">
                  <c:v>18.43</c:v>
                </c:pt>
                <c:pt idx="17">
                  <c:v>19.79</c:v>
                </c:pt>
                <c:pt idx="18">
                  <c:v>16.690000000000001</c:v>
                </c:pt>
                <c:pt idx="19">
                  <c:v>5.38</c:v>
                </c:pt>
                <c:pt idx="20">
                  <c:v>15.54</c:v>
                </c:pt>
                <c:pt idx="21">
                  <c:v>17.21</c:v>
                </c:pt>
                <c:pt idx="22">
                  <c:v>18.11</c:v>
                </c:pt>
                <c:pt idx="23">
                  <c:v>17.690000000000001</c:v>
                </c:pt>
                <c:pt idx="24">
                  <c:v>25.31</c:v>
                </c:pt>
                <c:pt idx="25">
                  <c:v>13.25</c:v>
                </c:pt>
                <c:pt idx="26">
                  <c:v>9.26</c:v>
                </c:pt>
                <c:pt idx="27">
                  <c:v>15.05</c:v>
                </c:pt>
                <c:pt idx="28">
                  <c:v>8.91</c:v>
                </c:pt>
                <c:pt idx="29">
                  <c:v>0</c:v>
                </c:pt>
                <c:pt idx="30">
                  <c:v>20.94</c:v>
                </c:pt>
                <c:pt idx="31">
                  <c:v>16.149999999999999</c:v>
                </c:pt>
                <c:pt idx="32">
                  <c:v>13.42</c:v>
                </c:pt>
                <c:pt idx="33">
                  <c:v>10.14</c:v>
                </c:pt>
                <c:pt idx="34">
                  <c:v>14.55</c:v>
                </c:pt>
                <c:pt idx="35">
                  <c:v>6.46</c:v>
                </c:pt>
                <c:pt idx="36">
                  <c:v>14.95</c:v>
                </c:pt>
                <c:pt idx="37">
                  <c:v>10.039999999999999</c:v>
                </c:pt>
                <c:pt idx="38">
                  <c:v>13.07</c:v>
                </c:pt>
                <c:pt idx="39">
                  <c:v>13.93</c:v>
                </c:pt>
                <c:pt idx="40">
                  <c:v>13.26</c:v>
                </c:pt>
                <c:pt idx="41">
                  <c:v>11.05</c:v>
                </c:pt>
                <c:pt idx="42">
                  <c:v>21.74</c:v>
                </c:pt>
                <c:pt idx="43">
                  <c:v>16.02</c:v>
                </c:pt>
                <c:pt idx="44">
                  <c:v>16.04</c:v>
                </c:pt>
                <c:pt idx="45">
                  <c:v>13.62</c:v>
                </c:pt>
                <c:pt idx="46">
                  <c:v>19.510000000000002</c:v>
                </c:pt>
                <c:pt idx="47">
                  <c:v>28.15</c:v>
                </c:pt>
                <c:pt idx="48">
                  <c:v>23.97</c:v>
                </c:pt>
                <c:pt idx="49">
                  <c:v>33.26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3C-42D9-B78F-1DFD76797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957343"/>
        <c:axId val="1230954847"/>
      </c:scatterChart>
      <c:valAx>
        <c:axId val="123095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0954847"/>
        <c:crosses val="autoZero"/>
        <c:crossBetween val="midCat"/>
      </c:valAx>
      <c:valAx>
        <c:axId val="12309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095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CCO0!$U$1</c:f>
              <c:strCache>
                <c:ptCount val="1"/>
                <c:pt idx="0">
                  <c:v>Fe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CCO0!$A$2:$A$1000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CCO0!$U$2:$U$1000</c:f>
              <c:numCache>
                <c:formatCode>General</c:formatCode>
                <c:ptCount val="999"/>
                <c:pt idx="0">
                  <c:v>24963.67</c:v>
                </c:pt>
                <c:pt idx="1">
                  <c:v>24579.65</c:v>
                </c:pt>
                <c:pt idx="2">
                  <c:v>26778.27</c:v>
                </c:pt>
                <c:pt idx="3">
                  <c:v>30879.78</c:v>
                </c:pt>
                <c:pt idx="4">
                  <c:v>29074</c:v>
                </c:pt>
                <c:pt idx="5">
                  <c:v>38556.129999999997</c:v>
                </c:pt>
                <c:pt idx="6">
                  <c:v>36966.46</c:v>
                </c:pt>
                <c:pt idx="7">
                  <c:v>27288.7</c:v>
                </c:pt>
                <c:pt idx="8">
                  <c:v>31447.32</c:v>
                </c:pt>
                <c:pt idx="9">
                  <c:v>29972.57</c:v>
                </c:pt>
                <c:pt idx="10">
                  <c:v>26206.63</c:v>
                </c:pt>
                <c:pt idx="11">
                  <c:v>32173.77</c:v>
                </c:pt>
                <c:pt idx="12">
                  <c:v>30502.94</c:v>
                </c:pt>
                <c:pt idx="13">
                  <c:v>24508.93</c:v>
                </c:pt>
                <c:pt idx="14">
                  <c:v>28533.14</c:v>
                </c:pt>
                <c:pt idx="15">
                  <c:v>30611.68</c:v>
                </c:pt>
                <c:pt idx="16">
                  <c:v>32354.71</c:v>
                </c:pt>
                <c:pt idx="17">
                  <c:v>28927.13</c:v>
                </c:pt>
                <c:pt idx="18">
                  <c:v>23380.71</c:v>
                </c:pt>
                <c:pt idx="19">
                  <c:v>20408.09</c:v>
                </c:pt>
                <c:pt idx="20">
                  <c:v>28905.07</c:v>
                </c:pt>
                <c:pt idx="21">
                  <c:v>35908.339999999997</c:v>
                </c:pt>
                <c:pt idx="22">
                  <c:v>34763.660000000003</c:v>
                </c:pt>
                <c:pt idx="23">
                  <c:v>39740.269999999997</c:v>
                </c:pt>
                <c:pt idx="24">
                  <c:v>16816.900000000001</c:v>
                </c:pt>
                <c:pt idx="25">
                  <c:v>23965.919999999998</c:v>
                </c:pt>
                <c:pt idx="26">
                  <c:v>22775.8</c:v>
                </c:pt>
                <c:pt idx="27">
                  <c:v>23109.13</c:v>
                </c:pt>
                <c:pt idx="28">
                  <c:v>22167.82</c:v>
                </c:pt>
                <c:pt idx="29">
                  <c:v>26730.77</c:v>
                </c:pt>
                <c:pt idx="30">
                  <c:v>18130.41</c:v>
                </c:pt>
                <c:pt idx="31">
                  <c:v>20265.28</c:v>
                </c:pt>
                <c:pt idx="32">
                  <c:v>18928.55</c:v>
                </c:pt>
                <c:pt idx="33">
                  <c:v>18020.310000000001</c:v>
                </c:pt>
                <c:pt idx="34">
                  <c:v>17732.189999999999</c:v>
                </c:pt>
                <c:pt idx="35">
                  <c:v>13283.18</c:v>
                </c:pt>
                <c:pt idx="36">
                  <c:v>15182.04</c:v>
                </c:pt>
                <c:pt idx="37">
                  <c:v>14870.09</c:v>
                </c:pt>
                <c:pt idx="38">
                  <c:v>17561.759999999998</c:v>
                </c:pt>
                <c:pt idx="39">
                  <c:v>16717.57</c:v>
                </c:pt>
                <c:pt idx="40">
                  <c:v>19312.73</c:v>
                </c:pt>
                <c:pt idx="41">
                  <c:v>20641.599999999999</c:v>
                </c:pt>
                <c:pt idx="42">
                  <c:v>21839.040000000001</c:v>
                </c:pt>
                <c:pt idx="43">
                  <c:v>21666.17</c:v>
                </c:pt>
                <c:pt idx="44">
                  <c:v>20879.05</c:v>
                </c:pt>
                <c:pt idx="45">
                  <c:v>25152.11</c:v>
                </c:pt>
                <c:pt idx="46">
                  <c:v>29722.69</c:v>
                </c:pt>
                <c:pt idx="47">
                  <c:v>23982.49</c:v>
                </c:pt>
                <c:pt idx="48">
                  <c:v>22287.38</c:v>
                </c:pt>
                <c:pt idx="49">
                  <c:v>19907.830000000002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E5-4506-BBBB-C55DFDAD7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024863"/>
        <c:axId val="884024031"/>
      </c:scatterChart>
      <c:valAx>
        <c:axId val="8840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024031"/>
        <c:crosses val="autoZero"/>
        <c:crossBetween val="midCat"/>
      </c:valAx>
      <c:valAx>
        <c:axId val="88402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840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5</xdr:row>
      <xdr:rowOff>50800</xdr:rowOff>
    </xdr:from>
    <xdr:to>
      <xdr:col>21</xdr:col>
      <xdr:colOff>565150</xdr:colOff>
      <xdr:row>20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24CC2F-2998-4009-91ED-4FC816B95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133350</xdr:colOff>
      <xdr:row>5</xdr:row>
      <xdr:rowOff>50800</xdr:rowOff>
    </xdr:from>
    <xdr:to>
      <xdr:col>59</xdr:col>
      <xdr:colOff>57150</xdr:colOff>
      <xdr:row>20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DE5C52-43BB-4455-9168-F3E9EF774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228600</xdr:colOff>
      <xdr:row>20</xdr:row>
      <xdr:rowOff>88900</xdr:rowOff>
    </xdr:from>
    <xdr:to>
      <xdr:col>21</xdr:col>
      <xdr:colOff>584200</xdr:colOff>
      <xdr:row>35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61DD8A-88BA-4B6C-8072-4627ACBF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000"/>
  <sheetViews>
    <sheetView workbookViewId="0">
      <selection activeCell="B2" sqref="B2:B51"/>
    </sheetView>
  </sheetViews>
  <sheetFormatPr baseColWidth="10" defaultColWidth="12.6328125" defaultRowHeight="15" customHeight="1"/>
  <cols>
    <col min="1" max="2" width="7.453125" customWidth="1"/>
    <col min="3" max="3" width="8.90625" customWidth="1"/>
    <col min="4" max="4" width="6.90625" customWidth="1"/>
    <col min="5" max="5" width="7.90625" customWidth="1"/>
    <col min="6" max="6" width="6.90625" customWidth="1"/>
    <col min="7" max="7" width="8.90625" customWidth="1"/>
    <col min="8" max="8" width="6.90625" customWidth="1"/>
    <col min="9" max="9" width="8.90625" customWidth="1"/>
    <col min="10" max="10" width="7.453125" customWidth="1"/>
    <col min="11" max="11" width="5.90625" customWidth="1"/>
    <col min="12" max="12" width="7.1796875" customWidth="1"/>
    <col min="13" max="13" width="7.90625" customWidth="1"/>
    <col min="14" max="15" width="6.90625" customWidth="1"/>
    <col min="16" max="16" width="6.1796875" customWidth="1"/>
    <col min="17" max="17" width="5.90625" customWidth="1"/>
    <col min="18" max="18" width="7" customWidth="1"/>
    <col min="19" max="19" width="6.90625" customWidth="1"/>
    <col min="20" max="20" width="7.6328125" customWidth="1"/>
    <col min="21" max="21" width="8.90625" customWidth="1"/>
    <col min="22" max="22" width="7.90625" customWidth="1"/>
    <col min="23" max="23" width="5.453125" customWidth="1"/>
    <col min="24" max="24" width="7.453125" customWidth="1"/>
    <col min="25" max="25" width="5.90625" customWidth="1"/>
    <col min="26" max="26" width="6.90625" customWidth="1"/>
    <col min="27" max="27" width="5.90625" customWidth="1"/>
    <col min="28" max="28" width="7.453125" customWidth="1"/>
    <col min="29" max="29" width="6.90625" customWidth="1"/>
    <col min="30" max="30" width="7.1796875" customWidth="1"/>
    <col min="31" max="31" width="5.90625" customWidth="1"/>
    <col min="32" max="32" width="7.1796875" customWidth="1"/>
    <col min="33" max="33" width="5.453125" customWidth="1"/>
    <col min="34" max="34" width="7.1796875" customWidth="1"/>
    <col min="35" max="35" width="6.90625" customWidth="1"/>
    <col min="36" max="36" width="7.453125" customWidth="1"/>
    <col min="37" max="39" width="6.90625" customWidth="1"/>
    <col min="40" max="40" width="6.7265625" customWidth="1"/>
    <col min="41" max="41" width="5.90625" customWidth="1"/>
    <col min="42" max="42" width="7.453125" customWidth="1"/>
    <col min="43" max="43" width="5.453125" customWidth="1"/>
    <col min="44" max="44" width="7.26953125" customWidth="1"/>
    <col min="45" max="45" width="5.453125" customWidth="1"/>
    <col min="46" max="46" width="7.1796875" customWidth="1"/>
    <col min="47" max="47" width="5.453125" customWidth="1"/>
    <col min="48" max="48" width="7.453125" customWidth="1"/>
    <col min="49" max="49" width="5.453125" customWidth="1"/>
    <col min="50" max="50" width="7.26953125" customWidth="1"/>
    <col min="51" max="51" width="5.90625" customWidth="1"/>
    <col min="52" max="52" width="7.26953125" customWidth="1"/>
    <col min="53" max="53" width="5.90625" customWidth="1"/>
    <col min="54" max="54" width="7" customWidth="1"/>
    <col min="55" max="55" width="5.90625" customWidth="1"/>
    <col min="56" max="56" width="7.26953125" customWidth="1"/>
    <col min="57" max="57" width="6.90625" customWidth="1"/>
    <col min="58" max="58" width="7.1796875" customWidth="1"/>
    <col min="59" max="59" width="5.453125" customWidth="1"/>
    <col min="60" max="60" width="6.90625" customWidth="1"/>
    <col min="61" max="61" width="5.90625" customWidth="1"/>
    <col min="62" max="62" width="7.26953125" customWidth="1"/>
    <col min="63" max="63" width="5.453125" customWidth="1"/>
    <col min="64" max="64" width="7.26953125" customWidth="1"/>
    <col min="65" max="65" width="6.90625" customWidth="1"/>
    <col min="66" max="66" width="7.26953125" customWidth="1"/>
    <col min="67" max="67" width="5.90625" customWidth="1"/>
    <col min="68" max="68" width="7.1796875" customWidth="1"/>
    <col min="69" max="69" width="5.453125" customWidth="1"/>
    <col min="70" max="70" width="6.453125" customWidth="1"/>
  </cols>
  <sheetData>
    <row r="1" spans="1:70" ht="14.25" customHeight="1">
      <c r="A1" s="1" t="s">
        <v>69</v>
      </c>
      <c r="B1" s="19" t="s">
        <v>179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</row>
    <row r="2" spans="1:70" ht="14.25" customHeight="1">
      <c r="A2" s="2">
        <v>0</v>
      </c>
      <c r="B2" s="2">
        <f>2023.75-(A2/0.0538)</f>
        <v>2023.75</v>
      </c>
      <c r="C2" s="3">
        <v>20794.47</v>
      </c>
      <c r="D2" s="3">
        <v>200.36</v>
      </c>
      <c r="E2" s="3" t="s">
        <v>68</v>
      </c>
      <c r="F2" s="3">
        <v>436.04</v>
      </c>
      <c r="G2" s="3">
        <v>2156.86</v>
      </c>
      <c r="H2" s="3">
        <v>187.23</v>
      </c>
      <c r="I2" s="3">
        <v>2913.51</v>
      </c>
      <c r="J2" s="3">
        <v>117.36</v>
      </c>
      <c r="K2" s="3">
        <v>42.39</v>
      </c>
      <c r="L2" s="3">
        <v>13.87</v>
      </c>
      <c r="M2" s="3">
        <v>5069.8</v>
      </c>
      <c r="N2" s="3">
        <v>62.58</v>
      </c>
      <c r="O2" s="3">
        <v>146.69</v>
      </c>
      <c r="P2" s="3">
        <v>16.22</v>
      </c>
      <c r="Q2" s="3">
        <v>58.11</v>
      </c>
      <c r="R2" s="3">
        <v>8.3699999999999992</v>
      </c>
      <c r="S2" s="3">
        <v>84.01</v>
      </c>
      <c r="T2" s="3">
        <v>24.57</v>
      </c>
      <c r="U2" s="3">
        <v>24963.67</v>
      </c>
      <c r="V2" s="3">
        <v>141.84</v>
      </c>
      <c r="W2" s="3" t="s">
        <v>68</v>
      </c>
      <c r="X2" s="3">
        <v>77.430000000000007</v>
      </c>
      <c r="Y2" s="3">
        <v>36.9</v>
      </c>
      <c r="Z2" s="3">
        <v>12.53</v>
      </c>
      <c r="AA2" s="3">
        <v>23.59</v>
      </c>
      <c r="AB2" s="3">
        <v>7.53</v>
      </c>
      <c r="AC2" s="3">
        <v>178.75</v>
      </c>
      <c r="AD2" s="3">
        <v>7.36</v>
      </c>
      <c r="AE2" s="3">
        <v>31.51</v>
      </c>
      <c r="AF2" s="3">
        <v>3.7</v>
      </c>
      <c r="AG2" s="3" t="s">
        <v>68</v>
      </c>
      <c r="AH2" s="3">
        <v>2.21</v>
      </c>
      <c r="AI2" s="3">
        <v>160.41999999999999</v>
      </c>
      <c r="AJ2" s="3">
        <v>2.93</v>
      </c>
      <c r="AK2" s="3">
        <v>122.51</v>
      </c>
      <c r="AL2" s="3">
        <v>2.29</v>
      </c>
      <c r="AM2" s="3">
        <v>315.3</v>
      </c>
      <c r="AN2" s="3">
        <v>3.53</v>
      </c>
      <c r="AO2" s="3">
        <v>6.29</v>
      </c>
      <c r="AP2" s="3">
        <v>1.7</v>
      </c>
      <c r="AQ2" s="3" t="s">
        <v>68</v>
      </c>
      <c r="AR2" s="3">
        <v>4.49</v>
      </c>
      <c r="AS2" s="3" t="s">
        <v>68</v>
      </c>
      <c r="AT2" s="3">
        <v>4.13</v>
      </c>
      <c r="AU2" s="3" t="s">
        <v>68</v>
      </c>
      <c r="AV2" s="3">
        <v>6.04</v>
      </c>
      <c r="AW2" s="3" t="s">
        <v>68</v>
      </c>
      <c r="AX2" s="3">
        <v>4.5</v>
      </c>
      <c r="AY2" s="3" t="s">
        <v>68</v>
      </c>
      <c r="AZ2" s="3">
        <v>6.91</v>
      </c>
      <c r="BA2" s="3" t="s">
        <v>68</v>
      </c>
      <c r="BB2" s="3">
        <v>13.85</v>
      </c>
      <c r="BC2" s="3">
        <v>5.0999999999999996</v>
      </c>
      <c r="BD2" s="3">
        <v>3.03</v>
      </c>
      <c r="BE2" s="3">
        <v>235.28</v>
      </c>
      <c r="BF2" s="3">
        <v>14.62</v>
      </c>
      <c r="BG2" s="3" t="s">
        <v>68</v>
      </c>
      <c r="BH2" s="3">
        <v>22.26</v>
      </c>
      <c r="BI2" s="3">
        <v>5.64</v>
      </c>
      <c r="BJ2" s="3">
        <v>2.33</v>
      </c>
      <c r="BK2" s="3" t="s">
        <v>68</v>
      </c>
      <c r="BL2" s="3">
        <v>5.01</v>
      </c>
      <c r="BM2" s="3">
        <v>71.400000000000006</v>
      </c>
      <c r="BN2" s="3">
        <v>4.1100000000000003</v>
      </c>
      <c r="BO2" s="3">
        <v>18.45</v>
      </c>
      <c r="BP2" s="3">
        <v>2.23</v>
      </c>
      <c r="BQ2" s="3" t="s">
        <v>68</v>
      </c>
      <c r="BR2" s="3">
        <v>4.72</v>
      </c>
    </row>
    <row r="3" spans="1:70" ht="14.25" customHeight="1">
      <c r="A3" s="2">
        <v>1</v>
      </c>
      <c r="B3" s="2">
        <f t="shared" ref="B3:B51" si="0">2023.75-(A3/0.0538)</f>
        <v>2005.1626394052046</v>
      </c>
      <c r="C3" s="3">
        <v>20798.98</v>
      </c>
      <c r="D3" s="3">
        <v>198.89</v>
      </c>
      <c r="E3" s="3">
        <v>868.35</v>
      </c>
      <c r="F3" s="3">
        <v>320.85000000000002</v>
      </c>
      <c r="G3" s="3">
        <v>2253.14</v>
      </c>
      <c r="H3" s="3">
        <v>188</v>
      </c>
      <c r="I3" s="3">
        <v>2568.9499999999998</v>
      </c>
      <c r="J3" s="3">
        <v>114.09</v>
      </c>
      <c r="K3" s="3">
        <v>49.22</v>
      </c>
      <c r="L3" s="3">
        <v>13.32</v>
      </c>
      <c r="M3" s="3">
        <v>5016.08</v>
      </c>
      <c r="N3" s="3">
        <v>61.82</v>
      </c>
      <c r="O3" s="3">
        <v>153.97</v>
      </c>
      <c r="P3" s="3">
        <v>16.09</v>
      </c>
      <c r="Q3" s="3">
        <v>56.39</v>
      </c>
      <c r="R3" s="3">
        <v>8.25</v>
      </c>
      <c r="S3" s="3">
        <v>93.57</v>
      </c>
      <c r="T3" s="3">
        <v>24.63</v>
      </c>
      <c r="U3" s="3">
        <v>24579.65</v>
      </c>
      <c r="V3" s="3">
        <v>140.22</v>
      </c>
      <c r="W3" s="3" t="s">
        <v>68</v>
      </c>
      <c r="X3" s="3">
        <v>76.349999999999994</v>
      </c>
      <c r="Y3" s="3">
        <v>39.22</v>
      </c>
      <c r="Z3" s="3">
        <v>12.53</v>
      </c>
      <c r="AA3" s="3">
        <v>19.399999999999999</v>
      </c>
      <c r="AB3" s="3">
        <v>7.44</v>
      </c>
      <c r="AC3" s="3">
        <v>180.18</v>
      </c>
      <c r="AD3" s="3">
        <v>7.37</v>
      </c>
      <c r="AE3" s="3">
        <v>33.46</v>
      </c>
      <c r="AF3" s="3">
        <v>3.78</v>
      </c>
      <c r="AG3" s="3" t="s">
        <v>68</v>
      </c>
      <c r="AH3" s="3">
        <v>2.27</v>
      </c>
      <c r="AI3" s="3">
        <v>167.75</v>
      </c>
      <c r="AJ3" s="3">
        <v>2.98</v>
      </c>
      <c r="AK3" s="3">
        <v>123.78</v>
      </c>
      <c r="AL3" s="3">
        <v>2.29</v>
      </c>
      <c r="AM3" s="3">
        <v>281.82</v>
      </c>
      <c r="AN3" s="3">
        <v>3.35</v>
      </c>
      <c r="AO3" s="3">
        <v>6.78</v>
      </c>
      <c r="AP3" s="3">
        <v>1.68</v>
      </c>
      <c r="AQ3" s="3" t="s">
        <v>68</v>
      </c>
      <c r="AR3" s="3">
        <v>4.43</v>
      </c>
      <c r="AS3" s="3" t="s">
        <v>68</v>
      </c>
      <c r="AT3" s="3">
        <v>4.13</v>
      </c>
      <c r="AU3" s="3" t="s">
        <v>68</v>
      </c>
      <c r="AV3" s="3">
        <v>5.98</v>
      </c>
      <c r="AW3" s="3" t="s">
        <v>68</v>
      </c>
      <c r="AX3" s="3">
        <v>4.4800000000000004</v>
      </c>
      <c r="AY3" s="3" t="s">
        <v>68</v>
      </c>
      <c r="AZ3" s="3">
        <v>6.89</v>
      </c>
      <c r="BA3" s="3" t="s">
        <v>68</v>
      </c>
      <c r="BB3" s="3">
        <v>13.93</v>
      </c>
      <c r="BC3" s="3" t="s">
        <v>68</v>
      </c>
      <c r="BD3" s="3">
        <v>4.5599999999999996</v>
      </c>
      <c r="BE3" s="3">
        <v>185.93</v>
      </c>
      <c r="BF3" s="3">
        <v>14.47</v>
      </c>
      <c r="BG3" s="3" t="s">
        <v>68</v>
      </c>
      <c r="BH3" s="3">
        <v>22.55</v>
      </c>
      <c r="BI3" s="3">
        <v>6</v>
      </c>
      <c r="BJ3" s="3">
        <v>2.36</v>
      </c>
      <c r="BK3" s="3" t="s">
        <v>68</v>
      </c>
      <c r="BL3" s="3">
        <v>5.07</v>
      </c>
      <c r="BM3" s="3">
        <v>75.680000000000007</v>
      </c>
      <c r="BN3" s="3">
        <v>4.1900000000000004</v>
      </c>
      <c r="BO3" s="3">
        <v>19.190000000000001</v>
      </c>
      <c r="BP3" s="3">
        <v>2.25</v>
      </c>
      <c r="BQ3" s="3" t="s">
        <v>68</v>
      </c>
      <c r="BR3" s="3">
        <v>4.75</v>
      </c>
    </row>
    <row r="4" spans="1:70" ht="14.25" customHeight="1">
      <c r="A4" s="2">
        <v>2</v>
      </c>
      <c r="B4" s="2">
        <f t="shared" si="0"/>
        <v>1986.5752788104089</v>
      </c>
      <c r="C4" s="3">
        <v>20152.740000000002</v>
      </c>
      <c r="D4" s="3">
        <v>199.2</v>
      </c>
      <c r="E4" s="3" t="s">
        <v>68</v>
      </c>
      <c r="F4" s="3">
        <v>450.25</v>
      </c>
      <c r="G4" s="3">
        <v>2190.59</v>
      </c>
      <c r="H4" s="3">
        <v>190.14</v>
      </c>
      <c r="I4" s="3">
        <v>2615.71</v>
      </c>
      <c r="J4" s="3">
        <v>116.06</v>
      </c>
      <c r="K4" s="3">
        <v>44.98</v>
      </c>
      <c r="L4" s="3">
        <v>13.57</v>
      </c>
      <c r="M4" s="3">
        <v>5100.6000000000004</v>
      </c>
      <c r="N4" s="3">
        <v>63.34</v>
      </c>
      <c r="O4" s="3">
        <v>138.19999999999999</v>
      </c>
      <c r="P4" s="3">
        <v>16.329999999999998</v>
      </c>
      <c r="Q4" s="3">
        <v>49.65</v>
      </c>
      <c r="R4" s="3">
        <v>8.33</v>
      </c>
      <c r="S4" s="3">
        <v>51.55</v>
      </c>
      <c r="T4" s="3">
        <v>23.39</v>
      </c>
      <c r="U4" s="3">
        <v>26778.27</v>
      </c>
      <c r="V4" s="3">
        <v>144.61000000000001</v>
      </c>
      <c r="W4" s="3" t="s">
        <v>68</v>
      </c>
      <c r="X4" s="3">
        <v>78.540000000000006</v>
      </c>
      <c r="Y4" s="3">
        <v>29.71</v>
      </c>
      <c r="Z4" s="3">
        <v>12.31</v>
      </c>
      <c r="AA4" s="3">
        <v>15.59</v>
      </c>
      <c r="AB4" s="3">
        <v>7.28</v>
      </c>
      <c r="AC4" s="3">
        <v>189.29</v>
      </c>
      <c r="AD4" s="3">
        <v>7.41</v>
      </c>
      <c r="AE4" s="3">
        <v>36.049999999999997</v>
      </c>
      <c r="AF4" s="3">
        <v>3.77</v>
      </c>
      <c r="AG4" s="3" t="s">
        <v>68</v>
      </c>
      <c r="AH4" s="3">
        <v>2.25</v>
      </c>
      <c r="AI4" s="3">
        <v>172.79</v>
      </c>
      <c r="AJ4" s="3">
        <v>2.98</v>
      </c>
      <c r="AK4" s="3">
        <v>124.64</v>
      </c>
      <c r="AL4" s="3">
        <v>2.27</v>
      </c>
      <c r="AM4" s="3">
        <v>292.60000000000002</v>
      </c>
      <c r="AN4" s="3">
        <v>3.37</v>
      </c>
      <c r="AO4" s="3">
        <v>9.0399999999999991</v>
      </c>
      <c r="AP4" s="3">
        <v>1.68</v>
      </c>
      <c r="AQ4" s="3" t="s">
        <v>68</v>
      </c>
      <c r="AR4" s="3">
        <v>4.38</v>
      </c>
      <c r="AS4" s="3" t="s">
        <v>68</v>
      </c>
      <c r="AT4" s="3">
        <v>4.21</v>
      </c>
      <c r="AU4" s="3" t="s">
        <v>68</v>
      </c>
      <c r="AV4" s="3">
        <v>6</v>
      </c>
      <c r="AW4" s="3" t="s">
        <v>68</v>
      </c>
      <c r="AX4" s="3">
        <v>4.5</v>
      </c>
      <c r="AY4" s="3" t="s">
        <v>68</v>
      </c>
      <c r="AZ4" s="3">
        <v>6.79</v>
      </c>
      <c r="BA4" s="3" t="s">
        <v>68</v>
      </c>
      <c r="BB4" s="3">
        <v>13.72</v>
      </c>
      <c r="BC4" s="3" t="s">
        <v>68</v>
      </c>
      <c r="BD4" s="3">
        <v>4.51</v>
      </c>
      <c r="BE4" s="3">
        <v>88.09</v>
      </c>
      <c r="BF4" s="3">
        <v>14.13</v>
      </c>
      <c r="BG4" s="3" t="s">
        <v>68</v>
      </c>
      <c r="BH4" s="3">
        <v>21.82</v>
      </c>
      <c r="BI4" s="3">
        <v>6.86</v>
      </c>
      <c r="BJ4" s="3">
        <v>2.36</v>
      </c>
      <c r="BK4" s="3" t="s">
        <v>68</v>
      </c>
      <c r="BL4" s="3">
        <v>4.8899999999999997</v>
      </c>
      <c r="BM4" s="3">
        <v>75.48</v>
      </c>
      <c r="BN4" s="3">
        <v>4.1399999999999997</v>
      </c>
      <c r="BO4" s="3">
        <v>18.190000000000001</v>
      </c>
      <c r="BP4" s="3">
        <v>2.21</v>
      </c>
      <c r="BQ4" s="3" t="s">
        <v>68</v>
      </c>
      <c r="BR4" s="3">
        <v>4.68</v>
      </c>
    </row>
    <row r="5" spans="1:70" ht="14.25" customHeight="1">
      <c r="A5" s="2">
        <v>3</v>
      </c>
      <c r="B5" s="2">
        <f t="shared" si="0"/>
        <v>1967.9879182156135</v>
      </c>
      <c r="C5" s="3">
        <v>19645.16</v>
      </c>
      <c r="D5" s="3">
        <v>200.69</v>
      </c>
      <c r="E5" s="3">
        <v>781.05</v>
      </c>
      <c r="F5" s="3">
        <v>333.88</v>
      </c>
      <c r="G5" s="3">
        <v>2019.66</v>
      </c>
      <c r="H5" s="3">
        <v>189.98</v>
      </c>
      <c r="I5" s="3">
        <v>3154.89</v>
      </c>
      <c r="J5" s="3">
        <v>120.05</v>
      </c>
      <c r="K5" s="3">
        <v>35.590000000000003</v>
      </c>
      <c r="L5" s="3">
        <v>14.5</v>
      </c>
      <c r="M5" s="3">
        <v>4919.79</v>
      </c>
      <c r="N5" s="3">
        <v>63.59</v>
      </c>
      <c r="O5" s="3">
        <v>148.57</v>
      </c>
      <c r="P5" s="3">
        <v>16.55</v>
      </c>
      <c r="Q5" s="3">
        <v>52.4</v>
      </c>
      <c r="R5" s="3">
        <v>8.5299999999999994</v>
      </c>
      <c r="S5" s="3">
        <v>69.98</v>
      </c>
      <c r="T5" s="3">
        <v>24.34</v>
      </c>
      <c r="U5" s="3">
        <v>30879.78</v>
      </c>
      <c r="V5" s="3">
        <v>157.06</v>
      </c>
      <c r="W5" s="3" t="s">
        <v>68</v>
      </c>
      <c r="X5" s="3">
        <v>85.23</v>
      </c>
      <c r="Y5" s="3">
        <v>27.4</v>
      </c>
      <c r="Z5" s="3">
        <v>12.5</v>
      </c>
      <c r="AA5" s="3">
        <v>17.510000000000002</v>
      </c>
      <c r="AB5" s="3">
        <v>7.42</v>
      </c>
      <c r="AC5" s="3">
        <v>190.1</v>
      </c>
      <c r="AD5" s="3">
        <v>7.51</v>
      </c>
      <c r="AE5" s="3">
        <v>38.78</v>
      </c>
      <c r="AF5" s="3">
        <v>3.75</v>
      </c>
      <c r="AG5" s="3" t="s">
        <v>68</v>
      </c>
      <c r="AH5" s="3">
        <v>2.21</v>
      </c>
      <c r="AI5" s="3">
        <v>159.49</v>
      </c>
      <c r="AJ5" s="3">
        <v>2.91</v>
      </c>
      <c r="AK5" s="3">
        <v>118.35</v>
      </c>
      <c r="AL5" s="3">
        <v>2.25</v>
      </c>
      <c r="AM5" s="3">
        <v>286.85000000000002</v>
      </c>
      <c r="AN5" s="3">
        <v>3.37</v>
      </c>
      <c r="AO5" s="3">
        <v>9.5399999999999991</v>
      </c>
      <c r="AP5" s="3">
        <v>1.7</v>
      </c>
      <c r="AQ5" s="3" t="s">
        <v>68</v>
      </c>
      <c r="AR5" s="3">
        <v>4.59</v>
      </c>
      <c r="AS5" s="3" t="s">
        <v>68</v>
      </c>
      <c r="AT5" s="3">
        <v>4.2300000000000004</v>
      </c>
      <c r="AU5" s="3" t="s">
        <v>68</v>
      </c>
      <c r="AV5" s="3">
        <v>6.13</v>
      </c>
      <c r="AW5" s="3" t="s">
        <v>68</v>
      </c>
      <c r="AX5" s="3">
        <v>4.57</v>
      </c>
      <c r="AY5" s="3" t="s">
        <v>68</v>
      </c>
      <c r="AZ5" s="3">
        <v>6.92</v>
      </c>
      <c r="BA5" s="3" t="s">
        <v>68</v>
      </c>
      <c r="BB5" s="3">
        <v>13.96</v>
      </c>
      <c r="BC5" s="3" t="s">
        <v>68</v>
      </c>
      <c r="BD5" s="3">
        <v>4.58</v>
      </c>
      <c r="BE5" s="3">
        <v>119.24</v>
      </c>
      <c r="BF5" s="3">
        <v>14.44</v>
      </c>
      <c r="BG5" s="3" t="s">
        <v>68</v>
      </c>
      <c r="BH5" s="3">
        <v>21.74</v>
      </c>
      <c r="BI5" s="3">
        <v>5.5</v>
      </c>
      <c r="BJ5" s="3">
        <v>2.31</v>
      </c>
      <c r="BK5" s="3" t="s">
        <v>68</v>
      </c>
      <c r="BL5" s="3">
        <v>4.87</v>
      </c>
      <c r="BM5" s="3">
        <v>68.55</v>
      </c>
      <c r="BN5" s="3">
        <v>4.03</v>
      </c>
      <c r="BO5" s="3">
        <v>17.690000000000001</v>
      </c>
      <c r="BP5" s="3">
        <v>2.21</v>
      </c>
      <c r="BQ5" s="3" t="s">
        <v>68</v>
      </c>
      <c r="BR5" s="3">
        <v>4.6100000000000003</v>
      </c>
    </row>
    <row r="6" spans="1:70" ht="14.25" customHeight="1">
      <c r="A6" s="2">
        <v>4</v>
      </c>
      <c r="B6" s="2">
        <f t="shared" si="0"/>
        <v>1949.4005576208178</v>
      </c>
      <c r="C6" s="3">
        <v>20402.34</v>
      </c>
      <c r="D6" s="3">
        <v>202.51</v>
      </c>
      <c r="E6" s="3">
        <v>927.48</v>
      </c>
      <c r="F6" s="3">
        <v>338.25</v>
      </c>
      <c r="G6" s="3">
        <v>2087.7399999999998</v>
      </c>
      <c r="H6" s="3">
        <v>189.81</v>
      </c>
      <c r="I6" s="3">
        <v>3137.73</v>
      </c>
      <c r="J6" s="3">
        <v>117.82</v>
      </c>
      <c r="K6" s="3">
        <v>49.26</v>
      </c>
      <c r="L6" s="3">
        <v>14.42</v>
      </c>
      <c r="M6" s="3">
        <v>4798.24</v>
      </c>
      <c r="N6" s="3">
        <v>62.6</v>
      </c>
      <c r="O6" s="3">
        <v>142.59</v>
      </c>
      <c r="P6" s="3">
        <v>16.309999999999999</v>
      </c>
      <c r="Q6" s="3">
        <v>55.55</v>
      </c>
      <c r="R6" s="3">
        <v>8.4700000000000006</v>
      </c>
      <c r="S6" s="3">
        <v>95.07</v>
      </c>
      <c r="T6" s="3">
        <v>24.96</v>
      </c>
      <c r="U6" s="3">
        <v>29074</v>
      </c>
      <c r="V6" s="3">
        <v>153.04</v>
      </c>
      <c r="W6" s="3" t="s">
        <v>68</v>
      </c>
      <c r="X6" s="3">
        <v>83.05</v>
      </c>
      <c r="Y6" s="3">
        <v>39.69</v>
      </c>
      <c r="Z6" s="3">
        <v>12.64</v>
      </c>
      <c r="AA6" s="3">
        <v>18.98</v>
      </c>
      <c r="AB6" s="3">
        <v>7.47</v>
      </c>
      <c r="AC6" s="3">
        <v>184.29</v>
      </c>
      <c r="AD6" s="3">
        <v>7.46</v>
      </c>
      <c r="AE6" s="3">
        <v>29.45</v>
      </c>
      <c r="AF6" s="3">
        <v>3.65</v>
      </c>
      <c r="AG6" s="3" t="s">
        <v>68</v>
      </c>
      <c r="AH6" s="3">
        <v>2.2200000000000002</v>
      </c>
      <c r="AI6" s="3">
        <v>160.69999999999999</v>
      </c>
      <c r="AJ6" s="3">
        <v>2.93</v>
      </c>
      <c r="AK6" s="3">
        <v>118.08</v>
      </c>
      <c r="AL6" s="3">
        <v>2.25</v>
      </c>
      <c r="AM6" s="3">
        <v>276.05</v>
      </c>
      <c r="AN6" s="3">
        <v>3.33</v>
      </c>
      <c r="AO6" s="3">
        <v>8.4</v>
      </c>
      <c r="AP6" s="3">
        <v>1.69</v>
      </c>
      <c r="AQ6" s="3" t="s">
        <v>68</v>
      </c>
      <c r="AR6" s="3">
        <v>4.49</v>
      </c>
      <c r="AS6" s="3" t="s">
        <v>68</v>
      </c>
      <c r="AT6" s="3">
        <v>4.21</v>
      </c>
      <c r="AU6" s="3" t="s">
        <v>68</v>
      </c>
      <c r="AV6" s="3">
        <v>6.12</v>
      </c>
      <c r="AW6" s="3" t="s">
        <v>68</v>
      </c>
      <c r="AX6" s="3">
        <v>4.5199999999999996</v>
      </c>
      <c r="AY6" s="3" t="s">
        <v>68</v>
      </c>
      <c r="AZ6" s="3">
        <v>6.86</v>
      </c>
      <c r="BA6" s="3" t="s">
        <v>68</v>
      </c>
      <c r="BB6" s="3">
        <v>13.91</v>
      </c>
      <c r="BC6" s="3">
        <v>4.68</v>
      </c>
      <c r="BD6" s="3">
        <v>3.06</v>
      </c>
      <c r="BE6" s="3">
        <v>169.99</v>
      </c>
      <c r="BF6" s="3">
        <v>14.45</v>
      </c>
      <c r="BG6" s="3" t="s">
        <v>68</v>
      </c>
      <c r="BH6" s="3">
        <v>22.52</v>
      </c>
      <c r="BI6" s="3">
        <v>5.35</v>
      </c>
      <c r="BJ6" s="3">
        <v>2.33</v>
      </c>
      <c r="BK6" s="3" t="s">
        <v>68</v>
      </c>
      <c r="BL6" s="3">
        <v>5.0599999999999996</v>
      </c>
      <c r="BM6" s="3">
        <v>70.31</v>
      </c>
      <c r="BN6" s="3">
        <v>4.09</v>
      </c>
      <c r="BO6" s="3">
        <v>19.489999999999998</v>
      </c>
      <c r="BP6" s="3">
        <v>2.27</v>
      </c>
      <c r="BQ6" s="3" t="s">
        <v>68</v>
      </c>
      <c r="BR6" s="3">
        <v>4.67</v>
      </c>
    </row>
    <row r="7" spans="1:70" ht="14.25" customHeight="1">
      <c r="A7" s="2">
        <v>5</v>
      </c>
      <c r="B7" s="2">
        <f t="shared" si="0"/>
        <v>1930.8131970260224</v>
      </c>
      <c r="C7" s="3">
        <v>20918.54</v>
      </c>
      <c r="D7" s="3">
        <v>222.49</v>
      </c>
      <c r="E7" s="3">
        <v>1208.0899999999999</v>
      </c>
      <c r="F7" s="3">
        <v>399.73</v>
      </c>
      <c r="G7" s="3">
        <v>2984.59</v>
      </c>
      <c r="H7" s="3">
        <v>236.9</v>
      </c>
      <c r="I7" s="3">
        <v>3744.55</v>
      </c>
      <c r="J7" s="3">
        <v>126.73</v>
      </c>
      <c r="K7" s="3">
        <v>60.78</v>
      </c>
      <c r="L7" s="3">
        <v>16.37</v>
      </c>
      <c r="M7" s="3">
        <v>4494.93</v>
      </c>
      <c r="N7" s="3">
        <v>65.930000000000007</v>
      </c>
      <c r="O7" s="3">
        <v>157.63999999999999</v>
      </c>
      <c r="P7" s="3">
        <v>17.47</v>
      </c>
      <c r="Q7" s="3">
        <v>56.25</v>
      </c>
      <c r="R7" s="3">
        <v>9.41</v>
      </c>
      <c r="S7" s="3">
        <v>86.42</v>
      </c>
      <c r="T7" s="3">
        <v>25.89</v>
      </c>
      <c r="U7" s="3">
        <v>38556.129999999997</v>
      </c>
      <c r="V7" s="3">
        <v>179.59</v>
      </c>
      <c r="W7" s="3" t="s">
        <v>68</v>
      </c>
      <c r="X7" s="3">
        <v>96.8</v>
      </c>
      <c r="Y7" s="3">
        <v>40.31</v>
      </c>
      <c r="Z7" s="3">
        <v>13.09</v>
      </c>
      <c r="AA7" s="3">
        <v>24.63</v>
      </c>
      <c r="AB7" s="3">
        <v>7.82</v>
      </c>
      <c r="AC7" s="3">
        <v>196.1</v>
      </c>
      <c r="AD7" s="3">
        <v>7.81</v>
      </c>
      <c r="AE7" s="3">
        <v>42.55</v>
      </c>
      <c r="AF7" s="3">
        <v>4.07</v>
      </c>
      <c r="AG7" s="3" t="s">
        <v>68</v>
      </c>
      <c r="AH7" s="3">
        <v>2.3199999999999998</v>
      </c>
      <c r="AI7" s="3">
        <v>197.43</v>
      </c>
      <c r="AJ7" s="3">
        <v>3.28</v>
      </c>
      <c r="AK7" s="3">
        <v>137.9</v>
      </c>
      <c r="AL7" s="3">
        <v>2.4700000000000002</v>
      </c>
      <c r="AM7" s="3">
        <v>247.22</v>
      </c>
      <c r="AN7" s="3">
        <v>3.27</v>
      </c>
      <c r="AO7" s="3">
        <v>10.14</v>
      </c>
      <c r="AP7" s="3">
        <v>1.72</v>
      </c>
      <c r="AQ7" s="3" t="s">
        <v>68</v>
      </c>
      <c r="AR7" s="3">
        <v>4.59</v>
      </c>
      <c r="AS7" s="3" t="s">
        <v>68</v>
      </c>
      <c r="AT7" s="3">
        <v>4.16</v>
      </c>
      <c r="AU7" s="3" t="s">
        <v>68</v>
      </c>
      <c r="AV7" s="3">
        <v>6.08</v>
      </c>
      <c r="AW7" s="3" t="s">
        <v>68</v>
      </c>
      <c r="AX7" s="3">
        <v>4.5</v>
      </c>
      <c r="AY7" s="3" t="s">
        <v>68</v>
      </c>
      <c r="AZ7" s="3">
        <v>6.85</v>
      </c>
      <c r="BA7" s="3" t="s">
        <v>68</v>
      </c>
      <c r="BB7" s="3">
        <v>13.83</v>
      </c>
      <c r="BC7" s="3" t="s">
        <v>68</v>
      </c>
      <c r="BD7" s="3">
        <v>4.55</v>
      </c>
      <c r="BE7" s="3">
        <v>113.6</v>
      </c>
      <c r="BF7" s="3">
        <v>14.37</v>
      </c>
      <c r="BG7" s="3" t="s">
        <v>68</v>
      </c>
      <c r="BH7" s="3">
        <v>23.13</v>
      </c>
      <c r="BI7" s="3">
        <v>7.38</v>
      </c>
      <c r="BJ7" s="3">
        <v>2.48</v>
      </c>
      <c r="BK7" s="3" t="s">
        <v>68</v>
      </c>
      <c r="BL7" s="3">
        <v>5.17</v>
      </c>
      <c r="BM7" s="3">
        <v>80.27</v>
      </c>
      <c r="BN7" s="3">
        <v>4.41</v>
      </c>
      <c r="BO7" s="3">
        <v>21.71</v>
      </c>
      <c r="BP7" s="3">
        <v>2.4300000000000002</v>
      </c>
      <c r="BQ7" s="3" t="s">
        <v>68</v>
      </c>
      <c r="BR7" s="3">
        <v>5.01</v>
      </c>
    </row>
    <row r="8" spans="1:70" ht="14.25" customHeight="1">
      <c r="A8" s="2">
        <v>6</v>
      </c>
      <c r="B8" s="2">
        <f t="shared" si="0"/>
        <v>1912.2258364312268</v>
      </c>
      <c r="C8" s="3">
        <v>21029.439999999999</v>
      </c>
      <c r="D8" s="3">
        <v>221.67</v>
      </c>
      <c r="E8" s="3">
        <v>1309.21</v>
      </c>
      <c r="F8" s="3">
        <v>400.16</v>
      </c>
      <c r="G8" s="3">
        <v>2836.65</v>
      </c>
      <c r="H8" s="3">
        <v>230.84</v>
      </c>
      <c r="I8" s="3">
        <v>3303.57</v>
      </c>
      <c r="J8" s="3">
        <v>125.23</v>
      </c>
      <c r="K8" s="3">
        <v>44</v>
      </c>
      <c r="L8" s="3">
        <v>15.53</v>
      </c>
      <c r="M8" s="3">
        <v>4642.8599999999997</v>
      </c>
      <c r="N8" s="3">
        <v>66.47</v>
      </c>
      <c r="O8" s="3">
        <v>154.41</v>
      </c>
      <c r="P8" s="3">
        <v>17.510000000000002</v>
      </c>
      <c r="Q8" s="3">
        <v>62.89</v>
      </c>
      <c r="R8" s="3">
        <v>9.3699999999999992</v>
      </c>
      <c r="S8" s="3">
        <v>65.319999999999993</v>
      </c>
      <c r="T8" s="3">
        <v>25.05</v>
      </c>
      <c r="U8" s="3">
        <v>36966.46</v>
      </c>
      <c r="V8" s="3">
        <v>174.68</v>
      </c>
      <c r="W8" s="3" t="s">
        <v>68</v>
      </c>
      <c r="X8" s="3">
        <v>94.75</v>
      </c>
      <c r="Y8" s="3">
        <v>20.88</v>
      </c>
      <c r="Z8" s="3">
        <v>12.77</v>
      </c>
      <c r="AA8" s="3">
        <v>22.44</v>
      </c>
      <c r="AB8" s="3">
        <v>7.69</v>
      </c>
      <c r="AC8" s="3">
        <v>198.43</v>
      </c>
      <c r="AD8" s="3">
        <v>7.79</v>
      </c>
      <c r="AE8" s="3">
        <v>41.19</v>
      </c>
      <c r="AF8" s="3">
        <v>4.05</v>
      </c>
      <c r="AG8" s="3" t="s">
        <v>68</v>
      </c>
      <c r="AH8" s="3">
        <v>2.2799999999999998</v>
      </c>
      <c r="AI8" s="3">
        <v>190.4</v>
      </c>
      <c r="AJ8" s="3">
        <v>3.21</v>
      </c>
      <c r="AK8" s="3">
        <v>135.30000000000001</v>
      </c>
      <c r="AL8" s="3">
        <v>2.4300000000000002</v>
      </c>
      <c r="AM8" s="3">
        <v>242.01</v>
      </c>
      <c r="AN8" s="3">
        <v>3.22</v>
      </c>
      <c r="AO8" s="3">
        <v>9.67</v>
      </c>
      <c r="AP8" s="3">
        <v>1.7</v>
      </c>
      <c r="AQ8" s="3" t="s">
        <v>68</v>
      </c>
      <c r="AR8" s="3">
        <v>4.59</v>
      </c>
      <c r="AS8" s="3" t="s">
        <v>68</v>
      </c>
      <c r="AT8" s="3">
        <v>4.2</v>
      </c>
      <c r="AU8" s="3" t="s">
        <v>68</v>
      </c>
      <c r="AV8" s="3">
        <v>6.12</v>
      </c>
      <c r="AW8" s="3" t="s">
        <v>68</v>
      </c>
      <c r="AX8" s="3">
        <v>4.57</v>
      </c>
      <c r="AY8" s="3" t="s">
        <v>68</v>
      </c>
      <c r="AZ8" s="3">
        <v>6.95</v>
      </c>
      <c r="BA8" s="3" t="s">
        <v>68</v>
      </c>
      <c r="BB8" s="3">
        <v>14.07</v>
      </c>
      <c r="BC8" s="3" t="s">
        <v>68</v>
      </c>
      <c r="BD8" s="3">
        <v>4.62</v>
      </c>
      <c r="BE8" s="3">
        <v>133.97</v>
      </c>
      <c r="BF8" s="3">
        <v>14.56</v>
      </c>
      <c r="BG8" s="3" t="s">
        <v>68</v>
      </c>
      <c r="BH8" s="3">
        <v>22.76</v>
      </c>
      <c r="BI8" s="3">
        <v>5.7</v>
      </c>
      <c r="BJ8" s="3">
        <v>2.39</v>
      </c>
      <c r="BK8" s="3" t="s">
        <v>68</v>
      </c>
      <c r="BL8" s="3">
        <v>5.1100000000000003</v>
      </c>
      <c r="BM8" s="3">
        <v>82.17</v>
      </c>
      <c r="BN8" s="3">
        <v>4.42</v>
      </c>
      <c r="BO8" s="3">
        <v>21.69</v>
      </c>
      <c r="BP8" s="3">
        <v>2.41</v>
      </c>
      <c r="BQ8" s="3" t="s">
        <v>68</v>
      </c>
      <c r="BR8" s="3">
        <v>4.96</v>
      </c>
    </row>
    <row r="9" spans="1:70" ht="14.25" customHeight="1">
      <c r="A9" s="2">
        <v>7</v>
      </c>
      <c r="B9" s="2">
        <f t="shared" si="0"/>
        <v>1893.6384758364313</v>
      </c>
      <c r="C9" s="3">
        <v>20959.57</v>
      </c>
      <c r="D9" s="3">
        <v>206.49</v>
      </c>
      <c r="E9" s="3">
        <v>701.72</v>
      </c>
      <c r="F9" s="3">
        <v>332.4</v>
      </c>
      <c r="G9" s="3">
        <v>2999.52</v>
      </c>
      <c r="H9" s="3">
        <v>216.77</v>
      </c>
      <c r="I9" s="3">
        <v>4375.7700000000004</v>
      </c>
      <c r="J9" s="3">
        <v>120.18</v>
      </c>
      <c r="K9" s="3">
        <v>53.83</v>
      </c>
      <c r="L9" s="3">
        <v>15.61</v>
      </c>
      <c r="M9" s="3">
        <v>4623.55</v>
      </c>
      <c r="N9" s="3">
        <v>61.97</v>
      </c>
      <c r="O9" s="3">
        <v>151.55000000000001</v>
      </c>
      <c r="P9" s="3">
        <v>16.309999999999999</v>
      </c>
      <c r="Q9" s="3">
        <v>47.67</v>
      </c>
      <c r="R9" s="3">
        <v>8.59</v>
      </c>
      <c r="S9" s="3" t="s">
        <v>68</v>
      </c>
      <c r="T9" s="3">
        <v>33.82</v>
      </c>
      <c r="U9" s="3">
        <v>27288.7</v>
      </c>
      <c r="V9" s="3">
        <v>144.91</v>
      </c>
      <c r="W9" s="3" t="s">
        <v>68</v>
      </c>
      <c r="X9" s="3">
        <v>77.989999999999995</v>
      </c>
      <c r="Y9" s="3">
        <v>27.2</v>
      </c>
      <c r="Z9" s="3">
        <v>12.09</v>
      </c>
      <c r="AA9" s="3">
        <v>18</v>
      </c>
      <c r="AB9" s="3">
        <v>7.24</v>
      </c>
      <c r="AC9" s="3">
        <v>195.81</v>
      </c>
      <c r="AD9" s="3">
        <v>7.46</v>
      </c>
      <c r="AE9" s="3">
        <v>25.44</v>
      </c>
      <c r="AF9" s="3">
        <v>3.67</v>
      </c>
      <c r="AG9" s="3" t="s">
        <v>68</v>
      </c>
      <c r="AH9" s="3">
        <v>2.27</v>
      </c>
      <c r="AI9" s="3">
        <v>215.6</v>
      </c>
      <c r="AJ9" s="3">
        <v>3.27</v>
      </c>
      <c r="AK9" s="3">
        <v>144.22</v>
      </c>
      <c r="AL9" s="3">
        <v>2.41</v>
      </c>
      <c r="AM9" s="3">
        <v>259.58</v>
      </c>
      <c r="AN9" s="3">
        <v>3.2</v>
      </c>
      <c r="AO9" s="3">
        <v>7.97</v>
      </c>
      <c r="AP9" s="3">
        <v>1.63</v>
      </c>
      <c r="AQ9" s="3" t="s">
        <v>68</v>
      </c>
      <c r="AR9" s="3">
        <v>4.32</v>
      </c>
      <c r="AS9" s="3" t="s">
        <v>68</v>
      </c>
      <c r="AT9" s="3">
        <v>3.94</v>
      </c>
      <c r="AU9" s="3" t="s">
        <v>68</v>
      </c>
      <c r="AV9" s="3">
        <v>5.79</v>
      </c>
      <c r="AW9" s="3" t="s">
        <v>68</v>
      </c>
      <c r="AX9" s="3">
        <v>4.21</v>
      </c>
      <c r="AY9" s="3" t="s">
        <v>68</v>
      </c>
      <c r="AZ9" s="3">
        <v>6.37</v>
      </c>
      <c r="BA9" s="3" t="s">
        <v>68</v>
      </c>
      <c r="BB9" s="3">
        <v>12.94</v>
      </c>
      <c r="BC9" s="3" t="s">
        <v>68</v>
      </c>
      <c r="BD9" s="3">
        <v>4.2699999999999996</v>
      </c>
      <c r="BE9" s="3" t="s">
        <v>68</v>
      </c>
      <c r="BF9" s="3">
        <v>19.93</v>
      </c>
      <c r="BG9" s="3" t="s">
        <v>68</v>
      </c>
      <c r="BH9" s="3">
        <v>21.58</v>
      </c>
      <c r="BI9" s="3">
        <v>10.07</v>
      </c>
      <c r="BJ9" s="3">
        <v>2.4500000000000002</v>
      </c>
      <c r="BK9" s="3" t="s">
        <v>68</v>
      </c>
      <c r="BL9" s="3">
        <v>4.8</v>
      </c>
      <c r="BM9" s="3">
        <v>80.459999999999994</v>
      </c>
      <c r="BN9" s="3">
        <v>4.2300000000000004</v>
      </c>
      <c r="BO9" s="3">
        <v>23.31</v>
      </c>
      <c r="BP9" s="3">
        <v>2.35</v>
      </c>
      <c r="BQ9" s="3" t="s">
        <v>68</v>
      </c>
      <c r="BR9" s="3">
        <v>4.91</v>
      </c>
    </row>
    <row r="10" spans="1:70" ht="14.25" customHeight="1">
      <c r="A10" s="2">
        <v>8</v>
      </c>
      <c r="B10" s="2">
        <f t="shared" si="0"/>
        <v>1875.0511152416357</v>
      </c>
      <c r="C10" s="3">
        <v>21591.85</v>
      </c>
      <c r="D10" s="3">
        <v>215.13</v>
      </c>
      <c r="E10" s="3">
        <v>836.86</v>
      </c>
      <c r="F10" s="3">
        <v>349.82</v>
      </c>
      <c r="G10" s="3">
        <v>2221.25</v>
      </c>
      <c r="H10" s="3">
        <v>201.78</v>
      </c>
      <c r="I10" s="3">
        <v>3688.34</v>
      </c>
      <c r="J10" s="3">
        <v>125.08</v>
      </c>
      <c r="K10" s="3">
        <v>42.72</v>
      </c>
      <c r="L10" s="3">
        <v>15.63</v>
      </c>
      <c r="M10" s="3">
        <v>5046.71</v>
      </c>
      <c r="N10" s="3">
        <v>66.16</v>
      </c>
      <c r="O10" s="3">
        <v>151.33000000000001</v>
      </c>
      <c r="P10" s="3">
        <v>17.22</v>
      </c>
      <c r="Q10" s="3">
        <v>61.07</v>
      </c>
      <c r="R10" s="3">
        <v>8.91</v>
      </c>
      <c r="S10" s="3">
        <v>74.400000000000006</v>
      </c>
      <c r="T10" s="3">
        <v>24.76</v>
      </c>
      <c r="U10" s="3">
        <v>31447.32</v>
      </c>
      <c r="V10" s="3">
        <v>159.81</v>
      </c>
      <c r="W10" s="3" t="s">
        <v>68</v>
      </c>
      <c r="X10" s="3">
        <v>86.44</v>
      </c>
      <c r="Y10" s="3">
        <v>29.52</v>
      </c>
      <c r="Z10" s="3">
        <v>12.62</v>
      </c>
      <c r="AA10" s="3">
        <v>18.13</v>
      </c>
      <c r="AB10" s="3">
        <v>7.5</v>
      </c>
      <c r="AC10" s="3">
        <v>206.53</v>
      </c>
      <c r="AD10" s="3">
        <v>7.84</v>
      </c>
      <c r="AE10" s="3">
        <v>36.03</v>
      </c>
      <c r="AF10" s="3">
        <v>4.01</v>
      </c>
      <c r="AG10" s="3" t="s">
        <v>68</v>
      </c>
      <c r="AH10" s="3">
        <v>2.29</v>
      </c>
      <c r="AI10" s="3">
        <v>183.19</v>
      </c>
      <c r="AJ10" s="3">
        <v>3.13</v>
      </c>
      <c r="AK10" s="3">
        <v>135.91999999999999</v>
      </c>
      <c r="AL10" s="3">
        <v>2.41</v>
      </c>
      <c r="AM10" s="3">
        <v>262.8</v>
      </c>
      <c r="AN10" s="3">
        <v>3.3</v>
      </c>
      <c r="AO10" s="3">
        <v>5.95</v>
      </c>
      <c r="AP10" s="3">
        <v>1.67</v>
      </c>
      <c r="AQ10" s="3" t="s">
        <v>68</v>
      </c>
      <c r="AR10" s="3">
        <v>4.55</v>
      </c>
      <c r="AS10" s="3" t="s">
        <v>68</v>
      </c>
      <c r="AT10" s="3">
        <v>4.26</v>
      </c>
      <c r="AU10" s="3" t="s">
        <v>68</v>
      </c>
      <c r="AV10" s="3">
        <v>6.12</v>
      </c>
      <c r="AW10" s="3" t="s">
        <v>68</v>
      </c>
      <c r="AX10" s="3">
        <v>4.55</v>
      </c>
      <c r="AY10" s="3" t="s">
        <v>68</v>
      </c>
      <c r="AZ10" s="3">
        <v>6.92</v>
      </c>
      <c r="BA10" s="3" t="s">
        <v>68</v>
      </c>
      <c r="BB10" s="3">
        <v>13.93</v>
      </c>
      <c r="BC10" s="3" t="s">
        <v>68</v>
      </c>
      <c r="BD10" s="3">
        <v>4.58</v>
      </c>
      <c r="BE10" s="3">
        <v>146.72</v>
      </c>
      <c r="BF10" s="3">
        <v>14.49</v>
      </c>
      <c r="BG10" s="3" t="s">
        <v>68</v>
      </c>
      <c r="BH10" s="3">
        <v>22.59</v>
      </c>
      <c r="BI10" s="3">
        <v>7.65</v>
      </c>
      <c r="BJ10" s="3">
        <v>2.4500000000000002</v>
      </c>
      <c r="BK10" s="3" t="s">
        <v>68</v>
      </c>
      <c r="BL10" s="3">
        <v>5.08</v>
      </c>
      <c r="BM10" s="3">
        <v>86.91</v>
      </c>
      <c r="BN10" s="3">
        <v>4.4800000000000004</v>
      </c>
      <c r="BO10" s="3">
        <v>20.55</v>
      </c>
      <c r="BP10" s="3">
        <v>2.35</v>
      </c>
      <c r="BQ10" s="3" t="s">
        <v>68</v>
      </c>
      <c r="BR10" s="3">
        <v>4.8899999999999997</v>
      </c>
    </row>
    <row r="11" spans="1:70" ht="14.25" customHeight="1">
      <c r="A11" s="2">
        <v>9</v>
      </c>
      <c r="B11" s="2">
        <f t="shared" si="0"/>
        <v>1856.4637546468402</v>
      </c>
      <c r="C11" s="3">
        <v>21292.93</v>
      </c>
      <c r="D11" s="3">
        <v>209.84</v>
      </c>
      <c r="E11" s="3">
        <v>564.36</v>
      </c>
      <c r="F11" s="3">
        <v>322.37</v>
      </c>
      <c r="G11" s="3">
        <v>1662.72</v>
      </c>
      <c r="H11" s="3">
        <v>180.37</v>
      </c>
      <c r="I11" s="3">
        <v>2658.48</v>
      </c>
      <c r="J11" s="3">
        <v>123.32</v>
      </c>
      <c r="K11" s="3">
        <v>51.46</v>
      </c>
      <c r="L11" s="3">
        <v>14.65</v>
      </c>
      <c r="M11" s="3">
        <v>4879.9799999999996</v>
      </c>
      <c r="N11" s="3">
        <v>63.64</v>
      </c>
      <c r="O11" s="3">
        <v>153.69999999999999</v>
      </c>
      <c r="P11" s="3">
        <v>16.61</v>
      </c>
      <c r="Q11" s="3">
        <v>69.06</v>
      </c>
      <c r="R11" s="3">
        <v>8.77</v>
      </c>
      <c r="S11" s="3">
        <v>106.62</v>
      </c>
      <c r="T11" s="3">
        <v>25.44</v>
      </c>
      <c r="U11" s="3">
        <v>29972.57</v>
      </c>
      <c r="V11" s="3">
        <v>156.01</v>
      </c>
      <c r="W11" s="3" t="s">
        <v>68</v>
      </c>
      <c r="X11" s="3">
        <v>84.03</v>
      </c>
      <c r="Y11" s="3">
        <v>42.24</v>
      </c>
      <c r="Z11" s="3">
        <v>12.74</v>
      </c>
      <c r="AA11" s="3">
        <v>14.08</v>
      </c>
      <c r="AB11" s="3">
        <v>7.44</v>
      </c>
      <c r="AC11" s="3">
        <v>213.23</v>
      </c>
      <c r="AD11" s="3">
        <v>7.94</v>
      </c>
      <c r="AE11" s="3">
        <v>33.97</v>
      </c>
      <c r="AF11" s="3">
        <v>3.94</v>
      </c>
      <c r="AG11" s="3" t="s">
        <v>68</v>
      </c>
      <c r="AH11" s="3">
        <v>2.2200000000000002</v>
      </c>
      <c r="AI11" s="3">
        <v>156.74</v>
      </c>
      <c r="AJ11" s="3">
        <v>2.91</v>
      </c>
      <c r="AK11" s="3">
        <v>125.18</v>
      </c>
      <c r="AL11" s="3">
        <v>2.3199999999999998</v>
      </c>
      <c r="AM11" s="3">
        <v>281.14999999999998</v>
      </c>
      <c r="AN11" s="3">
        <v>3.38</v>
      </c>
      <c r="AO11" s="3">
        <v>8</v>
      </c>
      <c r="AP11" s="3">
        <v>1.7</v>
      </c>
      <c r="AQ11" s="3" t="s">
        <v>68</v>
      </c>
      <c r="AR11" s="3">
        <v>4.5999999999999996</v>
      </c>
      <c r="AS11" s="3">
        <v>4.74</v>
      </c>
      <c r="AT11" s="3">
        <v>2.91</v>
      </c>
      <c r="AU11" s="3" t="s">
        <v>68</v>
      </c>
      <c r="AV11" s="3">
        <v>6.22</v>
      </c>
      <c r="AW11" s="3" t="s">
        <v>68</v>
      </c>
      <c r="AX11" s="3">
        <v>4.63</v>
      </c>
      <c r="AY11" s="3" t="s">
        <v>68</v>
      </c>
      <c r="AZ11" s="3">
        <v>6.99</v>
      </c>
      <c r="BA11" s="3" t="s">
        <v>68</v>
      </c>
      <c r="BB11" s="3">
        <v>14.14</v>
      </c>
      <c r="BC11" s="3" t="s">
        <v>68</v>
      </c>
      <c r="BD11" s="3">
        <v>4.6399999999999997</v>
      </c>
      <c r="BE11" s="3">
        <v>179.06</v>
      </c>
      <c r="BF11" s="3">
        <v>14.79</v>
      </c>
      <c r="BG11" s="3" t="s">
        <v>68</v>
      </c>
      <c r="BH11" s="3">
        <v>22.6</v>
      </c>
      <c r="BI11" s="3">
        <v>6.07</v>
      </c>
      <c r="BJ11" s="3">
        <v>2.38</v>
      </c>
      <c r="BK11" s="3" t="s">
        <v>68</v>
      </c>
      <c r="BL11" s="3">
        <v>5.08</v>
      </c>
      <c r="BM11" s="3">
        <v>84.07</v>
      </c>
      <c r="BN11" s="3">
        <v>4.4000000000000004</v>
      </c>
      <c r="BO11" s="3">
        <v>16.010000000000002</v>
      </c>
      <c r="BP11" s="3">
        <v>2.2200000000000002</v>
      </c>
      <c r="BQ11" s="3" t="s">
        <v>68</v>
      </c>
      <c r="BR11" s="3">
        <v>4.68</v>
      </c>
    </row>
    <row r="12" spans="1:70" ht="14.25" customHeight="1">
      <c r="A12" s="2">
        <v>10</v>
      </c>
      <c r="B12" s="2">
        <f t="shared" si="0"/>
        <v>1837.8763940520446</v>
      </c>
      <c r="C12" s="3">
        <v>21381.46</v>
      </c>
      <c r="D12" s="3">
        <v>204.62</v>
      </c>
      <c r="E12" s="3" t="s">
        <v>68</v>
      </c>
      <c r="F12" s="3">
        <v>446.73</v>
      </c>
      <c r="G12" s="3">
        <v>1736.36</v>
      </c>
      <c r="H12" s="3">
        <v>176.42</v>
      </c>
      <c r="I12" s="3">
        <v>2603.06</v>
      </c>
      <c r="J12" s="3">
        <v>119.47</v>
      </c>
      <c r="K12" s="3">
        <v>60.17</v>
      </c>
      <c r="L12" s="3">
        <v>14.18</v>
      </c>
      <c r="M12" s="3">
        <v>5059.63</v>
      </c>
      <c r="N12" s="3">
        <v>62.54</v>
      </c>
      <c r="O12" s="3">
        <v>154.03</v>
      </c>
      <c r="P12" s="3">
        <v>16.23</v>
      </c>
      <c r="Q12" s="3">
        <v>53.46</v>
      </c>
      <c r="R12" s="3">
        <v>8.35</v>
      </c>
      <c r="S12" s="3">
        <v>143.83000000000001</v>
      </c>
      <c r="T12" s="3">
        <v>25.91</v>
      </c>
      <c r="U12" s="3">
        <v>26206.63</v>
      </c>
      <c r="V12" s="3">
        <v>145.16</v>
      </c>
      <c r="W12" s="3" t="s">
        <v>68</v>
      </c>
      <c r="X12" s="3">
        <v>79.25</v>
      </c>
      <c r="Y12" s="3">
        <v>39.130000000000003</v>
      </c>
      <c r="Z12" s="3">
        <v>12.59</v>
      </c>
      <c r="AA12" s="3">
        <v>15.62</v>
      </c>
      <c r="AB12" s="3">
        <v>7.37</v>
      </c>
      <c r="AC12" s="3">
        <v>204.64</v>
      </c>
      <c r="AD12" s="3">
        <v>7.77</v>
      </c>
      <c r="AE12" s="3">
        <v>25.64</v>
      </c>
      <c r="AF12" s="3">
        <v>3.79</v>
      </c>
      <c r="AG12" s="3" t="s">
        <v>68</v>
      </c>
      <c r="AH12" s="3">
        <v>2.2000000000000002</v>
      </c>
      <c r="AI12" s="3">
        <v>155.30000000000001</v>
      </c>
      <c r="AJ12" s="3">
        <v>2.89</v>
      </c>
      <c r="AK12" s="3">
        <v>121.74</v>
      </c>
      <c r="AL12" s="3">
        <v>2.2799999999999998</v>
      </c>
      <c r="AM12" s="3">
        <v>286.70999999999998</v>
      </c>
      <c r="AN12" s="3">
        <v>3.38</v>
      </c>
      <c r="AO12" s="3">
        <v>6.87</v>
      </c>
      <c r="AP12" s="3">
        <v>1.68</v>
      </c>
      <c r="AQ12" s="3" t="s">
        <v>68</v>
      </c>
      <c r="AR12" s="3">
        <v>4.54</v>
      </c>
      <c r="AS12" s="3" t="s">
        <v>68</v>
      </c>
      <c r="AT12" s="3">
        <v>4.22</v>
      </c>
      <c r="AU12" s="3" t="s">
        <v>68</v>
      </c>
      <c r="AV12" s="3">
        <v>6.18</v>
      </c>
      <c r="AW12" s="3">
        <v>5.04</v>
      </c>
      <c r="AX12" s="3">
        <v>3.06</v>
      </c>
      <c r="AY12" s="3" t="s">
        <v>68</v>
      </c>
      <c r="AZ12" s="3">
        <v>6.93</v>
      </c>
      <c r="BA12" s="3" t="s">
        <v>68</v>
      </c>
      <c r="BB12" s="3">
        <v>14.03</v>
      </c>
      <c r="BC12" s="3">
        <v>5.78</v>
      </c>
      <c r="BD12" s="3">
        <v>3.08</v>
      </c>
      <c r="BE12" s="3">
        <v>207.92</v>
      </c>
      <c r="BF12" s="3">
        <v>14.72</v>
      </c>
      <c r="BG12" s="3" t="s">
        <v>68</v>
      </c>
      <c r="BH12" s="3">
        <v>22.64</v>
      </c>
      <c r="BI12" s="3">
        <v>4.37</v>
      </c>
      <c r="BJ12" s="3">
        <v>2.29</v>
      </c>
      <c r="BK12" s="3" t="s">
        <v>68</v>
      </c>
      <c r="BL12" s="3">
        <v>5.05</v>
      </c>
      <c r="BM12" s="3">
        <v>83.74</v>
      </c>
      <c r="BN12" s="3">
        <v>4.37</v>
      </c>
      <c r="BO12" s="3">
        <v>17.14</v>
      </c>
      <c r="BP12" s="3">
        <v>2.2200000000000002</v>
      </c>
      <c r="BQ12" s="3" t="s">
        <v>68</v>
      </c>
      <c r="BR12" s="3">
        <v>4.68</v>
      </c>
    </row>
    <row r="13" spans="1:70" ht="14.25" customHeight="1">
      <c r="A13" s="2">
        <v>11</v>
      </c>
      <c r="B13" s="2">
        <f t="shared" si="0"/>
        <v>1819.2890334572492</v>
      </c>
      <c r="C13" s="3">
        <v>21026.63</v>
      </c>
      <c r="D13" s="3">
        <v>211.08</v>
      </c>
      <c r="E13" s="3">
        <v>763.94</v>
      </c>
      <c r="F13" s="3">
        <v>339.44</v>
      </c>
      <c r="G13" s="3">
        <v>1686.21</v>
      </c>
      <c r="H13" s="3">
        <v>184.02</v>
      </c>
      <c r="I13" s="3">
        <v>2336.81</v>
      </c>
      <c r="J13" s="3">
        <v>124.57</v>
      </c>
      <c r="K13" s="3">
        <v>56.99</v>
      </c>
      <c r="L13" s="3">
        <v>14.68</v>
      </c>
      <c r="M13" s="3">
        <v>5138.46</v>
      </c>
      <c r="N13" s="3">
        <v>65.73</v>
      </c>
      <c r="O13" s="3">
        <v>146.62</v>
      </c>
      <c r="P13" s="3">
        <v>16.98</v>
      </c>
      <c r="Q13" s="3">
        <v>66.5</v>
      </c>
      <c r="R13" s="3">
        <v>8.84</v>
      </c>
      <c r="S13" s="3">
        <v>150.07</v>
      </c>
      <c r="T13" s="3">
        <v>27.03</v>
      </c>
      <c r="U13" s="3">
        <v>32173.77</v>
      </c>
      <c r="V13" s="3">
        <v>163.98</v>
      </c>
      <c r="W13" s="3" t="s">
        <v>68</v>
      </c>
      <c r="X13" s="3">
        <v>88.8</v>
      </c>
      <c r="Y13" s="3">
        <v>56.93</v>
      </c>
      <c r="Z13" s="3">
        <v>13.22</v>
      </c>
      <c r="AA13" s="3">
        <v>24.35</v>
      </c>
      <c r="AB13" s="3">
        <v>7.82</v>
      </c>
      <c r="AC13" s="3">
        <v>220.21</v>
      </c>
      <c r="AD13" s="3">
        <v>8.18</v>
      </c>
      <c r="AE13" s="3">
        <v>35.51</v>
      </c>
      <c r="AF13" s="3">
        <v>4.18</v>
      </c>
      <c r="AG13" s="3" t="s">
        <v>68</v>
      </c>
      <c r="AH13" s="3">
        <v>2.27</v>
      </c>
      <c r="AI13" s="3">
        <v>150.94999999999999</v>
      </c>
      <c r="AJ13" s="3">
        <v>2.91</v>
      </c>
      <c r="AK13" s="3">
        <v>123.92</v>
      </c>
      <c r="AL13" s="3">
        <v>2.35</v>
      </c>
      <c r="AM13" s="3">
        <v>265.14</v>
      </c>
      <c r="AN13" s="3">
        <v>3.35</v>
      </c>
      <c r="AO13" s="3">
        <v>8</v>
      </c>
      <c r="AP13" s="3">
        <v>1.71</v>
      </c>
      <c r="AQ13" s="3" t="s">
        <v>68</v>
      </c>
      <c r="AR13" s="3">
        <v>4.76</v>
      </c>
      <c r="AS13" s="3" t="s">
        <v>68</v>
      </c>
      <c r="AT13" s="3">
        <v>4.37</v>
      </c>
      <c r="AU13" s="3" t="s">
        <v>68</v>
      </c>
      <c r="AV13" s="3">
        <v>6.3</v>
      </c>
      <c r="AW13" s="3">
        <v>8.2899999999999991</v>
      </c>
      <c r="AX13" s="3">
        <v>3.17</v>
      </c>
      <c r="AY13" s="3" t="s">
        <v>68</v>
      </c>
      <c r="AZ13" s="3">
        <v>7.19</v>
      </c>
      <c r="BA13" s="3">
        <v>15.69</v>
      </c>
      <c r="BB13" s="3">
        <v>9.69</v>
      </c>
      <c r="BC13" s="3">
        <v>13.43</v>
      </c>
      <c r="BD13" s="3">
        <v>3.18</v>
      </c>
      <c r="BE13" s="3">
        <v>262.82</v>
      </c>
      <c r="BF13" s="3">
        <v>15.34</v>
      </c>
      <c r="BG13" s="3" t="s">
        <v>68</v>
      </c>
      <c r="BH13" s="3">
        <v>23.46</v>
      </c>
      <c r="BI13" s="3">
        <v>4.2</v>
      </c>
      <c r="BJ13" s="3">
        <v>2.36</v>
      </c>
      <c r="BK13" s="3" t="s">
        <v>68</v>
      </c>
      <c r="BL13" s="3">
        <v>5.23</v>
      </c>
      <c r="BM13" s="3">
        <v>95.83</v>
      </c>
      <c r="BN13" s="3">
        <v>4.71</v>
      </c>
      <c r="BO13" s="3">
        <v>17.170000000000002</v>
      </c>
      <c r="BP13" s="3">
        <v>2.2999999999999998</v>
      </c>
      <c r="BQ13" s="3" t="s">
        <v>68</v>
      </c>
      <c r="BR13" s="3">
        <v>4.72</v>
      </c>
    </row>
    <row r="14" spans="1:70" ht="14.25" customHeight="1">
      <c r="A14" s="2">
        <v>12</v>
      </c>
      <c r="B14" s="2">
        <f t="shared" si="0"/>
        <v>1800.7016728624535</v>
      </c>
      <c r="C14" s="3">
        <v>21046.09</v>
      </c>
      <c r="D14" s="3">
        <v>207.62</v>
      </c>
      <c r="E14" s="3" t="s">
        <v>68</v>
      </c>
      <c r="F14" s="3">
        <v>469.93</v>
      </c>
      <c r="G14" s="3">
        <v>1654.79</v>
      </c>
      <c r="H14" s="3">
        <v>179.07</v>
      </c>
      <c r="I14" s="3">
        <v>2716.96</v>
      </c>
      <c r="J14" s="3">
        <v>123.19</v>
      </c>
      <c r="K14" s="3">
        <v>27.22</v>
      </c>
      <c r="L14" s="3">
        <v>14.29</v>
      </c>
      <c r="M14" s="3">
        <v>5087.26</v>
      </c>
      <c r="N14" s="3">
        <v>64.84</v>
      </c>
      <c r="O14" s="3">
        <v>142.24</v>
      </c>
      <c r="P14" s="3">
        <v>16.78</v>
      </c>
      <c r="Q14" s="3">
        <v>56.34</v>
      </c>
      <c r="R14" s="3">
        <v>8.59</v>
      </c>
      <c r="S14" s="3">
        <v>119.31</v>
      </c>
      <c r="T14" s="3">
        <v>25.79</v>
      </c>
      <c r="U14" s="3">
        <v>30502.94</v>
      </c>
      <c r="V14" s="3">
        <v>157.57</v>
      </c>
      <c r="W14" s="3" t="s">
        <v>68</v>
      </c>
      <c r="X14" s="3">
        <v>85.39</v>
      </c>
      <c r="Y14" s="3">
        <v>38.869999999999997</v>
      </c>
      <c r="Z14" s="3">
        <v>12.78</v>
      </c>
      <c r="AA14" s="3">
        <v>24.9</v>
      </c>
      <c r="AB14" s="3">
        <v>7.69</v>
      </c>
      <c r="AC14" s="3">
        <v>238.02</v>
      </c>
      <c r="AD14" s="3">
        <v>8.33</v>
      </c>
      <c r="AE14" s="3">
        <v>33.020000000000003</v>
      </c>
      <c r="AF14" s="3">
        <v>4</v>
      </c>
      <c r="AG14" s="3" t="s">
        <v>68</v>
      </c>
      <c r="AH14" s="3">
        <v>2.2599999999999998</v>
      </c>
      <c r="AI14" s="3">
        <v>161.06</v>
      </c>
      <c r="AJ14" s="3">
        <v>2.96</v>
      </c>
      <c r="AK14" s="3">
        <v>124.55</v>
      </c>
      <c r="AL14" s="3">
        <v>2.3199999999999998</v>
      </c>
      <c r="AM14" s="3">
        <v>292.08999999999997</v>
      </c>
      <c r="AN14" s="3">
        <v>3.44</v>
      </c>
      <c r="AO14" s="3">
        <v>7.37</v>
      </c>
      <c r="AP14" s="3">
        <v>1.71</v>
      </c>
      <c r="AQ14" s="3" t="s">
        <v>68</v>
      </c>
      <c r="AR14" s="3">
        <v>4.55</v>
      </c>
      <c r="AS14" s="3" t="s">
        <v>68</v>
      </c>
      <c r="AT14" s="3">
        <v>4.3</v>
      </c>
      <c r="AU14" s="3" t="s">
        <v>68</v>
      </c>
      <c r="AV14" s="3">
        <v>6.2</v>
      </c>
      <c r="AW14" s="3" t="s">
        <v>68</v>
      </c>
      <c r="AX14" s="3">
        <v>4.6100000000000003</v>
      </c>
      <c r="AY14" s="3" t="s">
        <v>68</v>
      </c>
      <c r="AZ14" s="3">
        <v>7.02</v>
      </c>
      <c r="BA14" s="3" t="s">
        <v>68</v>
      </c>
      <c r="BB14" s="3">
        <v>14.07</v>
      </c>
      <c r="BC14" s="3" t="s">
        <v>68</v>
      </c>
      <c r="BD14" s="3">
        <v>4.6500000000000004</v>
      </c>
      <c r="BE14" s="3">
        <v>184.72</v>
      </c>
      <c r="BF14" s="3">
        <v>14.79</v>
      </c>
      <c r="BG14" s="3" t="s">
        <v>68</v>
      </c>
      <c r="BH14" s="3">
        <v>23.25</v>
      </c>
      <c r="BI14" s="3">
        <v>5.56</v>
      </c>
      <c r="BJ14" s="3">
        <v>2.38</v>
      </c>
      <c r="BK14" s="3" t="s">
        <v>68</v>
      </c>
      <c r="BL14" s="3">
        <v>5.19</v>
      </c>
      <c r="BM14" s="3">
        <v>89.38</v>
      </c>
      <c r="BN14" s="3">
        <v>4.5199999999999996</v>
      </c>
      <c r="BO14" s="3">
        <v>17.13</v>
      </c>
      <c r="BP14" s="3">
        <v>2.2599999999999998</v>
      </c>
      <c r="BQ14" s="3" t="s">
        <v>68</v>
      </c>
      <c r="BR14" s="3">
        <v>4.76</v>
      </c>
    </row>
    <row r="15" spans="1:70" ht="14.25" customHeight="1">
      <c r="A15" s="2">
        <v>13</v>
      </c>
      <c r="B15" s="2">
        <f t="shared" si="0"/>
        <v>1782.1143122676581</v>
      </c>
      <c r="C15" s="3">
        <v>19331.7</v>
      </c>
      <c r="D15" s="3">
        <v>189.34</v>
      </c>
      <c r="E15" s="3" t="s">
        <v>68</v>
      </c>
      <c r="F15" s="3">
        <v>418.91</v>
      </c>
      <c r="G15" s="3">
        <v>1340.51</v>
      </c>
      <c r="H15" s="3">
        <v>158.19</v>
      </c>
      <c r="I15" s="3">
        <v>2466.1</v>
      </c>
      <c r="J15" s="3">
        <v>121.13</v>
      </c>
      <c r="K15" s="3">
        <v>31.75</v>
      </c>
      <c r="L15" s="3">
        <v>13.81</v>
      </c>
      <c r="M15" s="3">
        <v>4867.8100000000004</v>
      </c>
      <c r="N15" s="3">
        <v>59.95</v>
      </c>
      <c r="O15" s="3">
        <v>136.99</v>
      </c>
      <c r="P15" s="3">
        <v>15.51</v>
      </c>
      <c r="Q15" s="3">
        <v>50.98</v>
      </c>
      <c r="R15" s="3">
        <v>8.0399999999999991</v>
      </c>
      <c r="S15" s="3">
        <v>137.07</v>
      </c>
      <c r="T15" s="3">
        <v>25.91</v>
      </c>
      <c r="U15" s="3">
        <v>24508.93</v>
      </c>
      <c r="V15" s="3">
        <v>141.30000000000001</v>
      </c>
      <c r="W15" s="3" t="s">
        <v>68</v>
      </c>
      <c r="X15" s="3">
        <v>77.3</v>
      </c>
      <c r="Y15" s="3">
        <v>40.020000000000003</v>
      </c>
      <c r="Z15" s="3">
        <v>12.67</v>
      </c>
      <c r="AA15" s="3">
        <v>19.399999999999999</v>
      </c>
      <c r="AB15" s="3">
        <v>7.5</v>
      </c>
      <c r="AC15" s="3">
        <v>183.33</v>
      </c>
      <c r="AD15" s="3">
        <v>7.48</v>
      </c>
      <c r="AE15" s="3">
        <v>28.04</v>
      </c>
      <c r="AF15" s="3">
        <v>3.84</v>
      </c>
      <c r="AG15" s="3" t="s">
        <v>68</v>
      </c>
      <c r="AH15" s="3">
        <v>2.23</v>
      </c>
      <c r="AI15" s="3">
        <v>125.83</v>
      </c>
      <c r="AJ15" s="3">
        <v>2.64</v>
      </c>
      <c r="AK15" s="3">
        <v>108.23</v>
      </c>
      <c r="AL15" s="3">
        <v>2.1800000000000002</v>
      </c>
      <c r="AM15" s="3">
        <v>328.49</v>
      </c>
      <c r="AN15" s="3">
        <v>3.59</v>
      </c>
      <c r="AO15" s="3">
        <v>6.97</v>
      </c>
      <c r="AP15" s="3">
        <v>1.72</v>
      </c>
      <c r="AQ15" s="3" t="s">
        <v>68</v>
      </c>
      <c r="AR15" s="3">
        <v>4.62</v>
      </c>
      <c r="AS15" s="3" t="s">
        <v>68</v>
      </c>
      <c r="AT15" s="3">
        <v>4.2699999999999996</v>
      </c>
      <c r="AU15" s="3" t="s">
        <v>68</v>
      </c>
      <c r="AV15" s="3">
        <v>6.19</v>
      </c>
      <c r="AW15" s="3">
        <v>7.58</v>
      </c>
      <c r="AX15" s="3">
        <v>3.1</v>
      </c>
      <c r="AY15" s="3">
        <v>8.84</v>
      </c>
      <c r="AZ15" s="3">
        <v>4.7300000000000004</v>
      </c>
      <c r="BA15" s="3">
        <v>19.309999999999999</v>
      </c>
      <c r="BB15" s="3">
        <v>9.52</v>
      </c>
      <c r="BC15" s="3">
        <v>22.2</v>
      </c>
      <c r="BD15" s="3">
        <v>3.15</v>
      </c>
      <c r="BE15" s="3">
        <v>274.44</v>
      </c>
      <c r="BF15" s="3">
        <v>15.08</v>
      </c>
      <c r="BG15" s="3" t="s">
        <v>68</v>
      </c>
      <c r="BH15" s="3">
        <v>22.79</v>
      </c>
      <c r="BI15" s="3">
        <v>4.6100000000000003</v>
      </c>
      <c r="BJ15" s="3">
        <v>2.33</v>
      </c>
      <c r="BK15" s="3" t="s">
        <v>68</v>
      </c>
      <c r="BL15" s="3">
        <v>5.17</v>
      </c>
      <c r="BM15" s="3">
        <v>83.56</v>
      </c>
      <c r="BN15" s="3">
        <v>4.38</v>
      </c>
      <c r="BO15" s="3">
        <v>15.83</v>
      </c>
      <c r="BP15" s="3">
        <v>2.17</v>
      </c>
      <c r="BQ15" s="3" t="s">
        <v>68</v>
      </c>
      <c r="BR15" s="3">
        <v>4.41</v>
      </c>
    </row>
    <row r="16" spans="1:70" ht="14.25" customHeight="1">
      <c r="A16" s="2">
        <v>14</v>
      </c>
      <c r="B16" s="2">
        <f t="shared" si="0"/>
        <v>1763.5269516728624</v>
      </c>
      <c r="C16" s="3">
        <v>19892.77</v>
      </c>
      <c r="D16" s="3">
        <v>200</v>
      </c>
      <c r="E16" s="3">
        <v>617.16999999999996</v>
      </c>
      <c r="F16" s="3">
        <v>316.02999999999997</v>
      </c>
      <c r="G16" s="3">
        <v>1401.59</v>
      </c>
      <c r="H16" s="3">
        <v>168.23</v>
      </c>
      <c r="I16" s="3">
        <v>2421.71</v>
      </c>
      <c r="J16" s="3">
        <v>122.82</v>
      </c>
      <c r="K16" s="3">
        <v>49.11</v>
      </c>
      <c r="L16" s="3">
        <v>14.35</v>
      </c>
      <c r="M16" s="3">
        <v>5025.17</v>
      </c>
      <c r="N16" s="3">
        <v>63.48</v>
      </c>
      <c r="O16" s="3">
        <v>132.24</v>
      </c>
      <c r="P16" s="3">
        <v>16.329999999999998</v>
      </c>
      <c r="Q16" s="3">
        <v>48.83</v>
      </c>
      <c r="R16" s="3">
        <v>8.36</v>
      </c>
      <c r="S16" s="3">
        <v>105.78</v>
      </c>
      <c r="T16" s="3">
        <v>25.1</v>
      </c>
      <c r="U16" s="3">
        <v>28533.14</v>
      </c>
      <c r="V16" s="3">
        <v>150.66999999999999</v>
      </c>
      <c r="W16" s="3" t="s">
        <v>68</v>
      </c>
      <c r="X16" s="3">
        <v>81.680000000000007</v>
      </c>
      <c r="Y16" s="3">
        <v>32.03</v>
      </c>
      <c r="Z16" s="3">
        <v>12.47</v>
      </c>
      <c r="AA16" s="3">
        <v>11.35</v>
      </c>
      <c r="AB16" s="3">
        <v>7.26</v>
      </c>
      <c r="AC16" s="3">
        <v>213.63</v>
      </c>
      <c r="AD16" s="3">
        <v>7.86</v>
      </c>
      <c r="AE16" s="3">
        <v>34.770000000000003</v>
      </c>
      <c r="AF16" s="3">
        <v>4.01</v>
      </c>
      <c r="AG16" s="3" t="s">
        <v>68</v>
      </c>
      <c r="AH16" s="3">
        <v>2.19</v>
      </c>
      <c r="AI16" s="3">
        <v>140</v>
      </c>
      <c r="AJ16" s="3">
        <v>2.74</v>
      </c>
      <c r="AK16" s="3">
        <v>110.6</v>
      </c>
      <c r="AL16" s="3">
        <v>2.17</v>
      </c>
      <c r="AM16" s="3">
        <v>312.56</v>
      </c>
      <c r="AN16" s="3">
        <v>3.48</v>
      </c>
      <c r="AO16" s="3">
        <v>7.25</v>
      </c>
      <c r="AP16" s="3">
        <v>1.7</v>
      </c>
      <c r="AQ16" s="3" t="s">
        <v>68</v>
      </c>
      <c r="AR16" s="3">
        <v>4.6500000000000004</v>
      </c>
      <c r="AS16" s="3">
        <v>4.63</v>
      </c>
      <c r="AT16" s="3">
        <v>2.9</v>
      </c>
      <c r="AU16" s="3" t="s">
        <v>68</v>
      </c>
      <c r="AV16" s="3">
        <v>6.17</v>
      </c>
      <c r="AW16" s="3" t="s">
        <v>68</v>
      </c>
      <c r="AX16" s="3">
        <v>4.62</v>
      </c>
      <c r="AY16" s="3" t="s">
        <v>68</v>
      </c>
      <c r="AZ16" s="3">
        <v>7.05</v>
      </c>
      <c r="BA16" s="3" t="s">
        <v>68</v>
      </c>
      <c r="BB16" s="3">
        <v>14.2</v>
      </c>
      <c r="BC16" s="3">
        <v>5.85</v>
      </c>
      <c r="BD16" s="3">
        <v>3.11</v>
      </c>
      <c r="BE16" s="3">
        <v>183.94</v>
      </c>
      <c r="BF16" s="3">
        <v>14.74</v>
      </c>
      <c r="BG16" s="3" t="s">
        <v>68</v>
      </c>
      <c r="BH16" s="3">
        <v>22.3</v>
      </c>
      <c r="BI16" s="3">
        <v>3.98</v>
      </c>
      <c r="BJ16" s="3">
        <v>2.2799999999999998</v>
      </c>
      <c r="BK16" s="3" t="s">
        <v>68</v>
      </c>
      <c r="BL16" s="3">
        <v>5.03</v>
      </c>
      <c r="BM16" s="3">
        <v>91.57</v>
      </c>
      <c r="BN16" s="3">
        <v>4.5</v>
      </c>
      <c r="BO16" s="3">
        <v>15.67</v>
      </c>
      <c r="BP16" s="3">
        <v>2.1800000000000002</v>
      </c>
      <c r="BQ16" s="3" t="s">
        <v>68</v>
      </c>
      <c r="BR16" s="3">
        <v>4.5199999999999996</v>
      </c>
    </row>
    <row r="17" spans="1:70" ht="14.25" customHeight="1">
      <c r="A17" s="2">
        <v>15</v>
      </c>
      <c r="B17" s="2">
        <f t="shared" si="0"/>
        <v>1744.939591078067</v>
      </c>
      <c r="C17" s="3">
        <v>21041.62</v>
      </c>
      <c r="D17" s="3">
        <v>210.72</v>
      </c>
      <c r="E17" s="3">
        <v>501.87</v>
      </c>
      <c r="F17" s="3">
        <v>323.76</v>
      </c>
      <c r="G17" s="3">
        <v>1817.5</v>
      </c>
      <c r="H17" s="3">
        <v>187.67</v>
      </c>
      <c r="I17" s="3">
        <v>2282.2800000000002</v>
      </c>
      <c r="J17" s="3">
        <v>123.02</v>
      </c>
      <c r="K17" s="3">
        <v>43.96</v>
      </c>
      <c r="L17" s="3">
        <v>14.15</v>
      </c>
      <c r="M17" s="3">
        <v>5004.34</v>
      </c>
      <c r="N17" s="3">
        <v>65.08</v>
      </c>
      <c r="O17" s="3">
        <v>143.76</v>
      </c>
      <c r="P17" s="3">
        <v>16.87</v>
      </c>
      <c r="Q17" s="3">
        <v>53.91</v>
      </c>
      <c r="R17" s="3">
        <v>8.7200000000000006</v>
      </c>
      <c r="S17" s="3">
        <v>107.07</v>
      </c>
      <c r="T17" s="3">
        <v>26.03</v>
      </c>
      <c r="U17" s="3">
        <v>30611.68</v>
      </c>
      <c r="V17" s="3">
        <v>158.78</v>
      </c>
      <c r="W17" s="3" t="s">
        <v>68</v>
      </c>
      <c r="X17" s="3">
        <v>85.54</v>
      </c>
      <c r="Y17" s="3">
        <v>47.05</v>
      </c>
      <c r="Z17" s="3">
        <v>12.87</v>
      </c>
      <c r="AA17" s="3">
        <v>27.96</v>
      </c>
      <c r="AB17" s="3">
        <v>7.77</v>
      </c>
      <c r="AC17" s="3">
        <v>238.06</v>
      </c>
      <c r="AD17" s="3">
        <v>8.3699999999999992</v>
      </c>
      <c r="AE17" s="3">
        <v>37.07</v>
      </c>
      <c r="AF17" s="3">
        <v>4.04</v>
      </c>
      <c r="AG17" s="3" t="s">
        <v>68</v>
      </c>
      <c r="AH17" s="3">
        <v>2.29</v>
      </c>
      <c r="AI17" s="3">
        <v>155.47999999999999</v>
      </c>
      <c r="AJ17" s="3">
        <v>2.92</v>
      </c>
      <c r="AK17" s="3">
        <v>119.71</v>
      </c>
      <c r="AL17" s="3">
        <v>2.29</v>
      </c>
      <c r="AM17" s="3">
        <v>271.39999999999998</v>
      </c>
      <c r="AN17" s="3">
        <v>3.35</v>
      </c>
      <c r="AO17" s="3">
        <v>8.23</v>
      </c>
      <c r="AP17" s="3">
        <v>1.71</v>
      </c>
      <c r="AQ17" s="3" t="s">
        <v>68</v>
      </c>
      <c r="AR17" s="3">
        <v>4.66</v>
      </c>
      <c r="AS17" s="3" t="s">
        <v>68</v>
      </c>
      <c r="AT17" s="3">
        <v>4.3899999999999997</v>
      </c>
      <c r="AU17" s="3" t="s">
        <v>68</v>
      </c>
      <c r="AV17" s="3">
        <v>6.3</v>
      </c>
      <c r="AW17" s="3">
        <v>8.23</v>
      </c>
      <c r="AX17" s="3">
        <v>3.17</v>
      </c>
      <c r="AY17" s="3">
        <v>10.87</v>
      </c>
      <c r="AZ17" s="3">
        <v>4.84</v>
      </c>
      <c r="BA17" s="3">
        <v>34.6</v>
      </c>
      <c r="BB17" s="3">
        <v>9.82</v>
      </c>
      <c r="BC17" s="3">
        <v>25.97</v>
      </c>
      <c r="BD17" s="3">
        <v>3.23</v>
      </c>
      <c r="BE17" s="3">
        <v>319.69</v>
      </c>
      <c r="BF17" s="3">
        <v>15.6</v>
      </c>
      <c r="BG17" s="3" t="s">
        <v>68</v>
      </c>
      <c r="BH17" s="3">
        <v>22.77</v>
      </c>
      <c r="BI17" s="3">
        <v>4.55</v>
      </c>
      <c r="BJ17" s="3">
        <v>2.35</v>
      </c>
      <c r="BK17" s="3" t="s">
        <v>68</v>
      </c>
      <c r="BL17" s="3">
        <v>5.1100000000000003</v>
      </c>
      <c r="BM17" s="3">
        <v>86.02</v>
      </c>
      <c r="BN17" s="3">
        <v>4.4800000000000004</v>
      </c>
      <c r="BO17" s="3">
        <v>17.98</v>
      </c>
      <c r="BP17" s="3">
        <v>2.2799999999999998</v>
      </c>
      <c r="BQ17" s="3" t="s">
        <v>68</v>
      </c>
      <c r="BR17" s="3">
        <v>4.74</v>
      </c>
    </row>
    <row r="18" spans="1:70" ht="14.25" customHeight="1">
      <c r="A18" s="2">
        <v>16</v>
      </c>
      <c r="B18" s="2">
        <f t="shared" si="0"/>
        <v>1726.3522304832713</v>
      </c>
      <c r="C18" s="3">
        <v>21591.18</v>
      </c>
      <c r="D18" s="3">
        <v>212.71</v>
      </c>
      <c r="E18" s="3">
        <v>685.64</v>
      </c>
      <c r="F18" s="3">
        <v>334.14</v>
      </c>
      <c r="G18" s="3">
        <v>1806.13</v>
      </c>
      <c r="H18" s="3">
        <v>186.67</v>
      </c>
      <c r="I18" s="3">
        <v>2431.75</v>
      </c>
      <c r="J18" s="3">
        <v>120.99</v>
      </c>
      <c r="K18" s="3">
        <v>36.44</v>
      </c>
      <c r="L18" s="3">
        <v>14.01</v>
      </c>
      <c r="M18" s="3">
        <v>5054.05</v>
      </c>
      <c r="N18" s="3">
        <v>65.47</v>
      </c>
      <c r="O18" s="3">
        <v>152.22</v>
      </c>
      <c r="P18" s="3">
        <v>17.04</v>
      </c>
      <c r="Q18" s="3">
        <v>64.33</v>
      </c>
      <c r="R18" s="3">
        <v>8.77</v>
      </c>
      <c r="S18" s="3">
        <v>111.29</v>
      </c>
      <c r="T18" s="3">
        <v>26.58</v>
      </c>
      <c r="U18" s="3">
        <v>32354.71</v>
      </c>
      <c r="V18" s="3">
        <v>166.68</v>
      </c>
      <c r="W18" s="3" t="s">
        <v>68</v>
      </c>
      <c r="X18" s="3">
        <v>90.13</v>
      </c>
      <c r="Y18" s="3">
        <v>61.81</v>
      </c>
      <c r="Z18" s="3">
        <v>13.48</v>
      </c>
      <c r="AA18" s="3">
        <v>20.309999999999999</v>
      </c>
      <c r="AB18" s="3">
        <v>7.86</v>
      </c>
      <c r="AC18" s="3">
        <v>258.85000000000002</v>
      </c>
      <c r="AD18" s="3">
        <v>8.85</v>
      </c>
      <c r="AE18" s="3">
        <v>32.54</v>
      </c>
      <c r="AF18" s="3">
        <v>4.33</v>
      </c>
      <c r="AG18" s="3" t="s">
        <v>68</v>
      </c>
      <c r="AH18" s="3">
        <v>2.37</v>
      </c>
      <c r="AI18" s="3">
        <v>163.30000000000001</v>
      </c>
      <c r="AJ18" s="3">
        <v>3.06</v>
      </c>
      <c r="AK18" s="3">
        <v>126.69</v>
      </c>
      <c r="AL18" s="3">
        <v>2.4</v>
      </c>
      <c r="AM18" s="3">
        <v>272.83999999999997</v>
      </c>
      <c r="AN18" s="3">
        <v>3.44</v>
      </c>
      <c r="AO18" s="3">
        <v>8.99</v>
      </c>
      <c r="AP18" s="3">
        <v>1.76</v>
      </c>
      <c r="AQ18" s="3" t="s">
        <v>68</v>
      </c>
      <c r="AR18" s="3">
        <v>4.6399999999999997</v>
      </c>
      <c r="AS18" s="3" t="s">
        <v>68</v>
      </c>
      <c r="AT18" s="3">
        <v>4.38</v>
      </c>
      <c r="AU18" s="3" t="s">
        <v>68</v>
      </c>
      <c r="AV18" s="3">
        <v>6.32</v>
      </c>
      <c r="AW18" s="3">
        <v>9.8800000000000008</v>
      </c>
      <c r="AX18" s="3">
        <v>3.2</v>
      </c>
      <c r="AY18" s="3" t="s">
        <v>68</v>
      </c>
      <c r="AZ18" s="3">
        <v>7.18</v>
      </c>
      <c r="BA18" s="3">
        <v>23.24</v>
      </c>
      <c r="BB18" s="3">
        <v>9.7799999999999994</v>
      </c>
      <c r="BC18" s="3">
        <v>18.43</v>
      </c>
      <c r="BD18" s="3">
        <v>3.21</v>
      </c>
      <c r="BE18" s="3">
        <v>268.05</v>
      </c>
      <c r="BF18" s="3">
        <v>15.43</v>
      </c>
      <c r="BG18" s="3" t="s">
        <v>68</v>
      </c>
      <c r="BH18" s="3">
        <v>23.45</v>
      </c>
      <c r="BI18" s="3">
        <v>4.07</v>
      </c>
      <c r="BJ18" s="3">
        <v>2.41</v>
      </c>
      <c r="BK18" s="3" t="s">
        <v>68</v>
      </c>
      <c r="BL18" s="3">
        <v>5.27</v>
      </c>
      <c r="BM18" s="3">
        <v>105.02</v>
      </c>
      <c r="BN18" s="3">
        <v>4.97</v>
      </c>
      <c r="BO18" s="3">
        <v>16.59</v>
      </c>
      <c r="BP18" s="3">
        <v>2.35</v>
      </c>
      <c r="BQ18" s="3" t="s">
        <v>68</v>
      </c>
      <c r="BR18" s="3">
        <v>4.95</v>
      </c>
    </row>
    <row r="19" spans="1:70" ht="14.25" customHeight="1">
      <c r="A19" s="2">
        <v>17</v>
      </c>
      <c r="B19" s="2">
        <f t="shared" si="0"/>
        <v>1707.7648698884759</v>
      </c>
      <c r="C19" s="3">
        <v>21220.16</v>
      </c>
      <c r="D19" s="3">
        <v>207.57</v>
      </c>
      <c r="E19" s="3">
        <v>866.59</v>
      </c>
      <c r="F19" s="3">
        <v>335.27</v>
      </c>
      <c r="G19" s="3">
        <v>1702.04</v>
      </c>
      <c r="H19" s="3">
        <v>180.02</v>
      </c>
      <c r="I19" s="3">
        <v>2117.14</v>
      </c>
      <c r="J19" s="3">
        <v>124.24</v>
      </c>
      <c r="K19" s="3">
        <v>40.61</v>
      </c>
      <c r="L19" s="3">
        <v>14.04</v>
      </c>
      <c r="M19" s="3">
        <v>5161.47</v>
      </c>
      <c r="N19" s="3">
        <v>64.760000000000005</v>
      </c>
      <c r="O19" s="3">
        <v>154.76</v>
      </c>
      <c r="P19" s="3">
        <v>16.82</v>
      </c>
      <c r="Q19" s="3">
        <v>55.62</v>
      </c>
      <c r="R19" s="3">
        <v>8.58</v>
      </c>
      <c r="S19" s="3">
        <v>98.64</v>
      </c>
      <c r="T19" s="3">
        <v>25.81</v>
      </c>
      <c r="U19" s="3">
        <v>28927.13</v>
      </c>
      <c r="V19" s="3">
        <v>155.78</v>
      </c>
      <c r="W19" s="3" t="s">
        <v>68</v>
      </c>
      <c r="X19" s="3">
        <v>84.56</v>
      </c>
      <c r="Y19" s="3">
        <v>48.7</v>
      </c>
      <c r="Z19" s="3">
        <v>13.05</v>
      </c>
      <c r="AA19" s="3">
        <v>23.08</v>
      </c>
      <c r="AB19" s="3">
        <v>7.74</v>
      </c>
      <c r="AC19" s="3">
        <v>237.85</v>
      </c>
      <c r="AD19" s="3">
        <v>8.44</v>
      </c>
      <c r="AE19" s="3">
        <v>30.86</v>
      </c>
      <c r="AF19" s="3">
        <v>4.21</v>
      </c>
      <c r="AG19" s="3" t="s">
        <v>68</v>
      </c>
      <c r="AH19" s="3">
        <v>2.29</v>
      </c>
      <c r="AI19" s="3">
        <v>154.04</v>
      </c>
      <c r="AJ19" s="3">
        <v>2.94</v>
      </c>
      <c r="AK19" s="3">
        <v>120.78</v>
      </c>
      <c r="AL19" s="3">
        <v>2.3199999999999998</v>
      </c>
      <c r="AM19" s="3">
        <v>310.52999999999997</v>
      </c>
      <c r="AN19" s="3">
        <v>3.58</v>
      </c>
      <c r="AO19" s="3">
        <v>6.74</v>
      </c>
      <c r="AP19" s="3">
        <v>1.74</v>
      </c>
      <c r="AQ19" s="3" t="s">
        <v>68</v>
      </c>
      <c r="AR19" s="3">
        <v>4.59</v>
      </c>
      <c r="AS19" s="3">
        <v>4.37</v>
      </c>
      <c r="AT19" s="3">
        <v>2.9</v>
      </c>
      <c r="AU19" s="3" t="s">
        <v>68</v>
      </c>
      <c r="AV19" s="3">
        <v>6.22</v>
      </c>
      <c r="AW19" s="3">
        <v>6.49</v>
      </c>
      <c r="AX19" s="3">
        <v>3.12</v>
      </c>
      <c r="AY19" s="3">
        <v>7.91</v>
      </c>
      <c r="AZ19" s="3">
        <v>4.76</v>
      </c>
      <c r="BA19" s="3">
        <v>22.67</v>
      </c>
      <c r="BB19" s="3">
        <v>9.61</v>
      </c>
      <c r="BC19" s="3">
        <v>19.79</v>
      </c>
      <c r="BD19" s="3">
        <v>3.17</v>
      </c>
      <c r="BE19" s="3">
        <v>284.27</v>
      </c>
      <c r="BF19" s="3">
        <v>15.24</v>
      </c>
      <c r="BG19" s="3" t="s">
        <v>68</v>
      </c>
      <c r="BH19" s="3">
        <v>23.15</v>
      </c>
      <c r="BI19" s="3">
        <v>5.0199999999999996</v>
      </c>
      <c r="BJ19" s="3">
        <v>2.4</v>
      </c>
      <c r="BK19" s="3" t="s">
        <v>68</v>
      </c>
      <c r="BL19" s="3">
        <v>5.23</v>
      </c>
      <c r="BM19" s="3">
        <v>101.73</v>
      </c>
      <c r="BN19" s="3">
        <v>4.84</v>
      </c>
      <c r="BO19" s="3">
        <v>17.43</v>
      </c>
      <c r="BP19" s="3">
        <v>2.3199999999999998</v>
      </c>
      <c r="BQ19" s="3" t="s">
        <v>68</v>
      </c>
      <c r="BR19" s="3">
        <v>4.84</v>
      </c>
    </row>
    <row r="20" spans="1:70" ht="14.25" customHeight="1">
      <c r="A20" s="2">
        <v>18</v>
      </c>
      <c r="B20" s="2">
        <f t="shared" si="0"/>
        <v>1689.1775092936803</v>
      </c>
      <c r="C20" s="3">
        <v>19807.400000000001</v>
      </c>
      <c r="D20" s="3">
        <v>189.88</v>
      </c>
      <c r="E20" s="3">
        <v>668.15</v>
      </c>
      <c r="F20" s="3">
        <v>296.39999999999998</v>
      </c>
      <c r="G20" s="3">
        <v>1587.88</v>
      </c>
      <c r="H20" s="3">
        <v>163.57</v>
      </c>
      <c r="I20" s="3">
        <v>2875.55</v>
      </c>
      <c r="J20" s="3">
        <v>117.92</v>
      </c>
      <c r="K20" s="3">
        <v>37.39</v>
      </c>
      <c r="L20" s="3">
        <v>13.91</v>
      </c>
      <c r="M20" s="3">
        <v>4713.1099999999997</v>
      </c>
      <c r="N20" s="3">
        <v>59.21</v>
      </c>
      <c r="O20" s="3">
        <v>132.34</v>
      </c>
      <c r="P20" s="3">
        <v>15.37</v>
      </c>
      <c r="Q20" s="3">
        <v>57.17</v>
      </c>
      <c r="R20" s="3">
        <v>7.96</v>
      </c>
      <c r="S20" s="3">
        <v>86.71</v>
      </c>
      <c r="T20" s="3">
        <v>25.15</v>
      </c>
      <c r="U20" s="3">
        <v>23380.71</v>
      </c>
      <c r="V20" s="3">
        <v>140.34</v>
      </c>
      <c r="W20" s="3" t="s">
        <v>68</v>
      </c>
      <c r="X20" s="3">
        <v>75.87</v>
      </c>
      <c r="Y20" s="3">
        <v>50.78</v>
      </c>
      <c r="Z20" s="3">
        <v>12.94</v>
      </c>
      <c r="AA20" s="3">
        <v>24.1</v>
      </c>
      <c r="AB20" s="3">
        <v>7.75</v>
      </c>
      <c r="AC20" s="3">
        <v>243.93</v>
      </c>
      <c r="AD20" s="3">
        <v>8.5299999999999994</v>
      </c>
      <c r="AE20" s="3">
        <v>29.08</v>
      </c>
      <c r="AF20" s="3">
        <v>4.04</v>
      </c>
      <c r="AG20" s="3" t="s">
        <v>68</v>
      </c>
      <c r="AH20" s="3">
        <v>2.27</v>
      </c>
      <c r="AI20" s="3">
        <v>146.53</v>
      </c>
      <c r="AJ20" s="3">
        <v>2.87</v>
      </c>
      <c r="AK20" s="3">
        <v>109.76</v>
      </c>
      <c r="AL20" s="3">
        <v>2.23</v>
      </c>
      <c r="AM20" s="3">
        <v>295.13</v>
      </c>
      <c r="AN20" s="3">
        <v>3.49</v>
      </c>
      <c r="AO20" s="3">
        <v>5.3</v>
      </c>
      <c r="AP20" s="3">
        <v>1.71</v>
      </c>
      <c r="AQ20" s="3" t="s">
        <v>68</v>
      </c>
      <c r="AR20" s="3">
        <v>4.57</v>
      </c>
      <c r="AS20" s="3" t="s">
        <v>68</v>
      </c>
      <c r="AT20" s="3">
        <v>4.29</v>
      </c>
      <c r="AU20" s="3" t="s">
        <v>68</v>
      </c>
      <c r="AV20" s="3">
        <v>6.09</v>
      </c>
      <c r="AW20" s="3">
        <v>4.8499999999999996</v>
      </c>
      <c r="AX20" s="3">
        <v>3.08</v>
      </c>
      <c r="AY20" s="3" t="s">
        <v>68</v>
      </c>
      <c r="AZ20" s="3">
        <v>7.06</v>
      </c>
      <c r="BA20" s="3">
        <v>16.53</v>
      </c>
      <c r="BB20" s="3">
        <v>9.52</v>
      </c>
      <c r="BC20" s="3">
        <v>16.690000000000001</v>
      </c>
      <c r="BD20" s="3">
        <v>3.14</v>
      </c>
      <c r="BE20" s="3">
        <v>254.42</v>
      </c>
      <c r="BF20" s="3">
        <v>15.03</v>
      </c>
      <c r="BG20" s="3" t="s">
        <v>68</v>
      </c>
      <c r="BH20" s="3">
        <v>22.98</v>
      </c>
      <c r="BI20" s="3">
        <v>4.0999999999999996</v>
      </c>
      <c r="BJ20" s="3">
        <v>2.35</v>
      </c>
      <c r="BK20" s="3">
        <v>5.41</v>
      </c>
      <c r="BL20" s="3">
        <v>3.47</v>
      </c>
      <c r="BM20" s="3">
        <v>91.64</v>
      </c>
      <c r="BN20" s="3">
        <v>4.63</v>
      </c>
      <c r="BO20" s="3">
        <v>15.21</v>
      </c>
      <c r="BP20" s="3">
        <v>2.2200000000000002</v>
      </c>
      <c r="BQ20" s="3" t="s">
        <v>68</v>
      </c>
      <c r="BR20" s="3">
        <v>4.6500000000000004</v>
      </c>
    </row>
    <row r="21" spans="1:70" ht="14.25" customHeight="1">
      <c r="A21" s="2">
        <v>19</v>
      </c>
      <c r="B21" s="2">
        <f t="shared" si="0"/>
        <v>1670.5901486988848</v>
      </c>
      <c r="C21" s="3">
        <v>20799.990000000002</v>
      </c>
      <c r="D21" s="3">
        <v>194.02</v>
      </c>
      <c r="E21" s="3" t="s">
        <v>68</v>
      </c>
      <c r="F21" s="3">
        <v>414.62</v>
      </c>
      <c r="G21" s="3">
        <v>1626.54</v>
      </c>
      <c r="H21" s="3">
        <v>164.06</v>
      </c>
      <c r="I21" s="3">
        <v>2660.11</v>
      </c>
      <c r="J21" s="3">
        <v>118.93</v>
      </c>
      <c r="K21" s="3">
        <v>33.56</v>
      </c>
      <c r="L21" s="3">
        <v>13.61</v>
      </c>
      <c r="M21" s="3">
        <v>4844.5200000000004</v>
      </c>
      <c r="N21" s="3">
        <v>59.59</v>
      </c>
      <c r="O21" s="3">
        <v>137.47</v>
      </c>
      <c r="P21" s="3">
        <v>15.46</v>
      </c>
      <c r="Q21" s="3">
        <v>47.74</v>
      </c>
      <c r="R21" s="3">
        <v>7.91</v>
      </c>
      <c r="S21" s="3">
        <v>88.5</v>
      </c>
      <c r="T21" s="3">
        <v>23.91</v>
      </c>
      <c r="U21" s="3">
        <v>20408.09</v>
      </c>
      <c r="V21" s="3">
        <v>126.06</v>
      </c>
      <c r="W21" s="3" t="s">
        <v>68</v>
      </c>
      <c r="X21" s="3">
        <v>68.349999999999994</v>
      </c>
      <c r="Y21" s="3">
        <v>29.28</v>
      </c>
      <c r="Z21" s="3">
        <v>12.06</v>
      </c>
      <c r="AA21" s="3">
        <v>21.75</v>
      </c>
      <c r="AB21" s="3">
        <v>7.32</v>
      </c>
      <c r="AC21" s="3">
        <v>282.81</v>
      </c>
      <c r="AD21" s="3">
        <v>8.7200000000000006</v>
      </c>
      <c r="AE21" s="3">
        <v>23.58</v>
      </c>
      <c r="AF21" s="3">
        <v>3.8</v>
      </c>
      <c r="AG21" s="3" t="s">
        <v>68</v>
      </c>
      <c r="AH21" s="3">
        <v>2.19</v>
      </c>
      <c r="AI21" s="3">
        <v>151.58000000000001</v>
      </c>
      <c r="AJ21" s="3">
        <v>2.8</v>
      </c>
      <c r="AK21" s="3">
        <v>114.63</v>
      </c>
      <c r="AL21" s="3">
        <v>2.1800000000000002</v>
      </c>
      <c r="AM21" s="3">
        <v>301.2</v>
      </c>
      <c r="AN21" s="3">
        <v>3.39</v>
      </c>
      <c r="AO21" s="3">
        <v>5.69</v>
      </c>
      <c r="AP21" s="3">
        <v>1.66</v>
      </c>
      <c r="AQ21" s="3" t="s">
        <v>68</v>
      </c>
      <c r="AR21" s="3">
        <v>4.4000000000000004</v>
      </c>
      <c r="AS21" s="3" t="s">
        <v>68</v>
      </c>
      <c r="AT21" s="3">
        <v>4.09</v>
      </c>
      <c r="AU21" s="3" t="s">
        <v>68</v>
      </c>
      <c r="AV21" s="3">
        <v>6.03</v>
      </c>
      <c r="AW21" s="3" t="s">
        <v>68</v>
      </c>
      <c r="AX21" s="3">
        <v>4.46</v>
      </c>
      <c r="AY21" s="3" t="s">
        <v>68</v>
      </c>
      <c r="AZ21" s="3">
        <v>6.82</v>
      </c>
      <c r="BA21" s="3" t="s">
        <v>68</v>
      </c>
      <c r="BB21" s="3">
        <v>13.73</v>
      </c>
      <c r="BC21" s="3">
        <v>5.38</v>
      </c>
      <c r="BD21" s="3">
        <v>3.02</v>
      </c>
      <c r="BE21" s="3">
        <v>209.51</v>
      </c>
      <c r="BF21" s="3">
        <v>14.43</v>
      </c>
      <c r="BG21" s="3" t="s">
        <v>68</v>
      </c>
      <c r="BH21" s="3">
        <v>22.34</v>
      </c>
      <c r="BI21" s="3">
        <v>5.96</v>
      </c>
      <c r="BJ21" s="3">
        <v>2.3199999999999998</v>
      </c>
      <c r="BK21" s="3" t="s">
        <v>68</v>
      </c>
      <c r="BL21" s="3">
        <v>4.97</v>
      </c>
      <c r="BM21" s="3">
        <v>91.2</v>
      </c>
      <c r="BN21" s="3">
        <v>4.4400000000000004</v>
      </c>
      <c r="BO21" s="3">
        <v>17.21</v>
      </c>
      <c r="BP21" s="3">
        <v>2.1800000000000002</v>
      </c>
      <c r="BQ21" s="3" t="s">
        <v>68</v>
      </c>
      <c r="BR21" s="3">
        <v>4.58</v>
      </c>
    </row>
    <row r="22" spans="1:70" ht="14.25" customHeight="1">
      <c r="A22" s="2">
        <v>20</v>
      </c>
      <c r="B22" s="2">
        <f t="shared" si="0"/>
        <v>1652.0027881040892</v>
      </c>
      <c r="C22" s="3">
        <v>20859.32</v>
      </c>
      <c r="D22" s="3">
        <v>204.16</v>
      </c>
      <c r="E22" s="3">
        <v>624.52</v>
      </c>
      <c r="F22" s="3">
        <v>318.95999999999998</v>
      </c>
      <c r="G22" s="3">
        <v>1742.57</v>
      </c>
      <c r="H22" s="3">
        <v>179.05</v>
      </c>
      <c r="I22" s="3">
        <v>3050.07</v>
      </c>
      <c r="J22" s="3">
        <v>119.88</v>
      </c>
      <c r="K22" s="3">
        <v>32.58</v>
      </c>
      <c r="L22" s="3">
        <v>14.33</v>
      </c>
      <c r="M22" s="3">
        <v>4908.71</v>
      </c>
      <c r="N22" s="3">
        <v>62.69</v>
      </c>
      <c r="O22" s="3">
        <v>143.44</v>
      </c>
      <c r="P22" s="3">
        <v>16.260000000000002</v>
      </c>
      <c r="Q22" s="3">
        <v>56.33</v>
      </c>
      <c r="R22" s="3">
        <v>8.41</v>
      </c>
      <c r="S22" s="3">
        <v>95.48</v>
      </c>
      <c r="T22" s="3">
        <v>25.48</v>
      </c>
      <c r="U22" s="3">
        <v>28905.07</v>
      </c>
      <c r="V22" s="3">
        <v>154.08000000000001</v>
      </c>
      <c r="W22" s="3" t="s">
        <v>68</v>
      </c>
      <c r="X22" s="3">
        <v>82.78</v>
      </c>
      <c r="Y22" s="3">
        <v>41.83</v>
      </c>
      <c r="Z22" s="3">
        <v>12.76</v>
      </c>
      <c r="AA22" s="3">
        <v>19.3</v>
      </c>
      <c r="AB22" s="3">
        <v>7.58</v>
      </c>
      <c r="AC22" s="3">
        <v>319.76</v>
      </c>
      <c r="AD22" s="3">
        <v>9.4600000000000009</v>
      </c>
      <c r="AE22" s="3">
        <v>23.46</v>
      </c>
      <c r="AF22" s="3">
        <v>3.93</v>
      </c>
      <c r="AG22" s="3" t="s">
        <v>68</v>
      </c>
      <c r="AH22" s="3">
        <v>2.31</v>
      </c>
      <c r="AI22" s="3">
        <v>157.79</v>
      </c>
      <c r="AJ22" s="3">
        <v>2.94</v>
      </c>
      <c r="AK22" s="3">
        <v>119.11</v>
      </c>
      <c r="AL22" s="3">
        <v>2.29</v>
      </c>
      <c r="AM22" s="3">
        <v>278.87</v>
      </c>
      <c r="AN22" s="3">
        <v>3.38</v>
      </c>
      <c r="AO22" s="3">
        <v>6.28</v>
      </c>
      <c r="AP22" s="3">
        <v>1.7</v>
      </c>
      <c r="AQ22" s="3" t="s">
        <v>68</v>
      </c>
      <c r="AR22" s="3">
        <v>4.7</v>
      </c>
      <c r="AS22" s="3" t="s">
        <v>68</v>
      </c>
      <c r="AT22" s="3">
        <v>4.22</v>
      </c>
      <c r="AU22" s="3" t="s">
        <v>68</v>
      </c>
      <c r="AV22" s="3">
        <v>6.29</v>
      </c>
      <c r="AW22" s="3">
        <v>7.82</v>
      </c>
      <c r="AX22" s="3">
        <v>3.15</v>
      </c>
      <c r="AY22" s="3" t="s">
        <v>68</v>
      </c>
      <c r="AZ22" s="3">
        <v>7.13</v>
      </c>
      <c r="BA22" s="3">
        <v>14.57</v>
      </c>
      <c r="BB22" s="3">
        <v>9.64</v>
      </c>
      <c r="BC22" s="3">
        <v>15.54</v>
      </c>
      <c r="BD22" s="3">
        <v>3.18</v>
      </c>
      <c r="BE22" s="3">
        <v>259.52999999999997</v>
      </c>
      <c r="BF22" s="3">
        <v>15.27</v>
      </c>
      <c r="BG22" s="3" t="s">
        <v>68</v>
      </c>
      <c r="BH22" s="3">
        <v>22.63</v>
      </c>
      <c r="BI22" s="3">
        <v>4.82</v>
      </c>
      <c r="BJ22" s="3">
        <v>2.37</v>
      </c>
      <c r="BK22" s="3">
        <v>6.7</v>
      </c>
      <c r="BL22" s="3">
        <v>3.45</v>
      </c>
      <c r="BM22" s="3">
        <v>92.57</v>
      </c>
      <c r="BN22" s="3">
        <v>4.6100000000000003</v>
      </c>
      <c r="BO22" s="3">
        <v>16.47</v>
      </c>
      <c r="BP22" s="3">
        <v>2.25</v>
      </c>
      <c r="BQ22" s="3" t="s">
        <v>68</v>
      </c>
      <c r="BR22" s="3">
        <v>4.8099999999999996</v>
      </c>
    </row>
    <row r="23" spans="1:70" ht="14.25" customHeight="1">
      <c r="A23" s="2">
        <v>21</v>
      </c>
      <c r="B23" s="2">
        <f t="shared" si="0"/>
        <v>1633.4154275092937</v>
      </c>
      <c r="C23" s="3">
        <v>19930.150000000001</v>
      </c>
      <c r="D23" s="3">
        <v>213.65</v>
      </c>
      <c r="E23" s="3">
        <v>784.67</v>
      </c>
      <c r="F23" s="3">
        <v>361.54</v>
      </c>
      <c r="G23" s="3">
        <v>1959.53</v>
      </c>
      <c r="H23" s="3">
        <v>202.08</v>
      </c>
      <c r="I23" s="3">
        <v>3293.13</v>
      </c>
      <c r="J23" s="3">
        <v>131.35</v>
      </c>
      <c r="K23" s="3">
        <v>41.21</v>
      </c>
      <c r="L23" s="3">
        <v>16.14</v>
      </c>
      <c r="M23" s="3">
        <v>4580.21</v>
      </c>
      <c r="N23" s="3">
        <v>65.13</v>
      </c>
      <c r="O23" s="3">
        <v>156.72999999999999</v>
      </c>
      <c r="P23" s="3">
        <v>17.18</v>
      </c>
      <c r="Q23" s="3">
        <v>51.78</v>
      </c>
      <c r="R23" s="3">
        <v>9.11</v>
      </c>
      <c r="S23" s="3">
        <v>143.94999999999999</v>
      </c>
      <c r="T23" s="3">
        <v>27.23</v>
      </c>
      <c r="U23" s="3">
        <v>35908.339999999997</v>
      </c>
      <c r="V23" s="3">
        <v>173.61</v>
      </c>
      <c r="W23" s="3" t="s">
        <v>68</v>
      </c>
      <c r="X23" s="3">
        <v>93.26</v>
      </c>
      <c r="Y23" s="3">
        <v>55.72</v>
      </c>
      <c r="Z23" s="3">
        <v>13.21</v>
      </c>
      <c r="AA23" s="3">
        <v>25.93</v>
      </c>
      <c r="AB23" s="3">
        <v>7.87</v>
      </c>
      <c r="AC23" s="3">
        <v>278.23</v>
      </c>
      <c r="AD23" s="3">
        <v>9.0399999999999991</v>
      </c>
      <c r="AE23" s="3">
        <v>35.26</v>
      </c>
      <c r="AF23" s="3">
        <v>4.1900000000000004</v>
      </c>
      <c r="AG23" s="3" t="s">
        <v>68</v>
      </c>
      <c r="AH23" s="3">
        <v>2.35</v>
      </c>
      <c r="AI23" s="3">
        <v>137.96</v>
      </c>
      <c r="AJ23" s="3">
        <v>2.8</v>
      </c>
      <c r="AK23" s="3">
        <v>113.66</v>
      </c>
      <c r="AL23" s="3">
        <v>2.2599999999999998</v>
      </c>
      <c r="AM23" s="3">
        <v>224.36</v>
      </c>
      <c r="AN23" s="3">
        <v>3.12</v>
      </c>
      <c r="AO23" s="3">
        <v>7.85</v>
      </c>
      <c r="AP23" s="3">
        <v>1.68</v>
      </c>
      <c r="AQ23" s="3">
        <v>4.92</v>
      </c>
      <c r="AR23" s="3">
        <v>3.2</v>
      </c>
      <c r="AS23" s="3">
        <v>6.1</v>
      </c>
      <c r="AT23" s="3">
        <v>2.98</v>
      </c>
      <c r="AU23" s="3" t="s">
        <v>68</v>
      </c>
      <c r="AV23" s="3">
        <v>6.29</v>
      </c>
      <c r="AW23" s="3" t="s">
        <v>68</v>
      </c>
      <c r="AX23" s="3">
        <v>4.7300000000000004</v>
      </c>
      <c r="AY23" s="3" t="s">
        <v>68</v>
      </c>
      <c r="AZ23" s="3">
        <v>7.24</v>
      </c>
      <c r="BA23" s="3">
        <v>15.03</v>
      </c>
      <c r="BB23" s="3">
        <v>9.7200000000000006</v>
      </c>
      <c r="BC23" s="3">
        <v>17.21</v>
      </c>
      <c r="BD23" s="3">
        <v>3.21</v>
      </c>
      <c r="BE23" s="3">
        <v>226.69</v>
      </c>
      <c r="BF23" s="3">
        <v>15.23</v>
      </c>
      <c r="BG23" s="3" t="s">
        <v>68</v>
      </c>
      <c r="BH23" s="3">
        <v>23.7</v>
      </c>
      <c r="BI23" s="3">
        <v>6.33</v>
      </c>
      <c r="BJ23" s="3">
        <v>2.4700000000000002</v>
      </c>
      <c r="BK23" s="3" t="s">
        <v>68</v>
      </c>
      <c r="BL23" s="3">
        <v>5.29</v>
      </c>
      <c r="BM23" s="3">
        <v>96.19</v>
      </c>
      <c r="BN23" s="3">
        <v>4.7300000000000004</v>
      </c>
      <c r="BO23" s="3">
        <v>14.98</v>
      </c>
      <c r="BP23" s="3">
        <v>2.25</v>
      </c>
      <c r="BQ23" s="3" t="s">
        <v>68</v>
      </c>
      <c r="BR23" s="3">
        <v>4.5999999999999996</v>
      </c>
    </row>
    <row r="24" spans="1:70" ht="14.25" customHeight="1">
      <c r="A24" s="2">
        <v>22</v>
      </c>
      <c r="B24" s="2">
        <f t="shared" si="0"/>
        <v>1614.8280669144981</v>
      </c>
      <c r="C24" s="3">
        <v>20815.099999999999</v>
      </c>
      <c r="D24" s="3">
        <v>215.14</v>
      </c>
      <c r="E24" s="3" t="s">
        <v>68</v>
      </c>
      <c r="F24" s="3">
        <v>495.26</v>
      </c>
      <c r="G24" s="3">
        <v>2018.18</v>
      </c>
      <c r="H24" s="3">
        <v>199.95</v>
      </c>
      <c r="I24" s="3">
        <v>3491.34</v>
      </c>
      <c r="J24" s="3">
        <v>128.78</v>
      </c>
      <c r="K24" s="3">
        <v>39.39</v>
      </c>
      <c r="L24" s="3">
        <v>15.96</v>
      </c>
      <c r="M24" s="3">
        <v>4882.66</v>
      </c>
      <c r="N24" s="3">
        <v>66.010000000000005</v>
      </c>
      <c r="O24" s="3">
        <v>134.75</v>
      </c>
      <c r="P24" s="3">
        <v>17.07</v>
      </c>
      <c r="Q24" s="3">
        <v>57.73</v>
      </c>
      <c r="R24" s="3">
        <v>8.9700000000000006</v>
      </c>
      <c r="S24" s="3">
        <v>93.36</v>
      </c>
      <c r="T24" s="3">
        <v>26.26</v>
      </c>
      <c r="U24" s="3">
        <v>34763.660000000003</v>
      </c>
      <c r="V24" s="3">
        <v>172.11</v>
      </c>
      <c r="W24" s="3" t="s">
        <v>68</v>
      </c>
      <c r="X24" s="3">
        <v>92.62</v>
      </c>
      <c r="Y24" s="3">
        <v>64.47</v>
      </c>
      <c r="Z24" s="3">
        <v>13.42</v>
      </c>
      <c r="AA24" s="3">
        <v>20.65</v>
      </c>
      <c r="AB24" s="3">
        <v>7.82</v>
      </c>
      <c r="AC24" s="3">
        <v>249.51</v>
      </c>
      <c r="AD24" s="3">
        <v>8.68</v>
      </c>
      <c r="AE24" s="3">
        <v>33.409999999999997</v>
      </c>
      <c r="AF24" s="3">
        <v>4.38</v>
      </c>
      <c r="AG24" s="3" t="s">
        <v>68</v>
      </c>
      <c r="AH24" s="3">
        <v>2.31</v>
      </c>
      <c r="AI24" s="3">
        <v>159.54</v>
      </c>
      <c r="AJ24" s="3">
        <v>3.01</v>
      </c>
      <c r="AK24" s="3">
        <v>118.57</v>
      </c>
      <c r="AL24" s="3">
        <v>2.33</v>
      </c>
      <c r="AM24" s="3">
        <v>261.5</v>
      </c>
      <c r="AN24" s="3">
        <v>3.36</v>
      </c>
      <c r="AO24" s="3">
        <v>6.66</v>
      </c>
      <c r="AP24" s="3">
        <v>1.72</v>
      </c>
      <c r="AQ24" s="3" t="s">
        <v>68</v>
      </c>
      <c r="AR24" s="3">
        <v>4.6900000000000004</v>
      </c>
      <c r="AS24" s="3" t="s">
        <v>68</v>
      </c>
      <c r="AT24" s="3">
        <v>4.3899999999999997</v>
      </c>
      <c r="AU24" s="3" t="s">
        <v>68</v>
      </c>
      <c r="AV24" s="3">
        <v>6.33</v>
      </c>
      <c r="AW24" s="3">
        <v>6.45</v>
      </c>
      <c r="AX24" s="3">
        <v>3.17</v>
      </c>
      <c r="AY24" s="3" t="s">
        <v>68</v>
      </c>
      <c r="AZ24" s="3">
        <v>7.22</v>
      </c>
      <c r="BA24" s="3">
        <v>23.25</v>
      </c>
      <c r="BB24" s="3">
        <v>9.7799999999999994</v>
      </c>
      <c r="BC24" s="3">
        <v>18.11</v>
      </c>
      <c r="BD24" s="3">
        <v>3.21</v>
      </c>
      <c r="BE24" s="3">
        <v>262.52</v>
      </c>
      <c r="BF24" s="3">
        <v>15.4</v>
      </c>
      <c r="BG24" s="3" t="s">
        <v>68</v>
      </c>
      <c r="BH24" s="3">
        <v>23.08</v>
      </c>
      <c r="BI24" s="3">
        <v>4.47</v>
      </c>
      <c r="BJ24" s="3">
        <v>2.4</v>
      </c>
      <c r="BK24" s="3">
        <v>6.94</v>
      </c>
      <c r="BL24" s="3">
        <v>3.51</v>
      </c>
      <c r="BM24" s="3">
        <v>109.03</v>
      </c>
      <c r="BN24" s="3">
        <v>5.03</v>
      </c>
      <c r="BO24" s="3">
        <v>17.12</v>
      </c>
      <c r="BP24" s="3">
        <v>2.36</v>
      </c>
      <c r="BQ24" s="3" t="s">
        <v>68</v>
      </c>
      <c r="BR24" s="3">
        <v>4.83</v>
      </c>
    </row>
    <row r="25" spans="1:70" ht="14.25" customHeight="1">
      <c r="A25" s="2">
        <v>23</v>
      </c>
      <c r="B25" s="2">
        <f t="shared" si="0"/>
        <v>1596.2407063197027</v>
      </c>
      <c r="C25" s="3">
        <v>21813.58</v>
      </c>
      <c r="D25" s="3">
        <v>225.7</v>
      </c>
      <c r="E25" s="3">
        <v>1047.67</v>
      </c>
      <c r="F25" s="3">
        <v>384.19</v>
      </c>
      <c r="G25" s="3">
        <v>1800.05</v>
      </c>
      <c r="H25" s="3">
        <v>200.06</v>
      </c>
      <c r="I25" s="3">
        <v>3131.2</v>
      </c>
      <c r="J25" s="3">
        <v>130.1</v>
      </c>
      <c r="K25" s="3" t="s">
        <v>68</v>
      </c>
      <c r="L25" s="3">
        <v>23.44</v>
      </c>
      <c r="M25" s="3">
        <v>4980.9799999999996</v>
      </c>
      <c r="N25" s="3">
        <v>68.62</v>
      </c>
      <c r="O25" s="3">
        <v>156.57</v>
      </c>
      <c r="P25" s="3">
        <v>17.93</v>
      </c>
      <c r="Q25" s="3">
        <v>64.819999999999993</v>
      </c>
      <c r="R25" s="3">
        <v>9.34</v>
      </c>
      <c r="S25" s="3">
        <v>128.05000000000001</v>
      </c>
      <c r="T25" s="3">
        <v>27.42</v>
      </c>
      <c r="U25" s="3">
        <v>39740.269999999997</v>
      </c>
      <c r="V25" s="3">
        <v>185.18</v>
      </c>
      <c r="W25" s="3" t="s">
        <v>68</v>
      </c>
      <c r="X25" s="3">
        <v>99.54</v>
      </c>
      <c r="Y25" s="3">
        <v>59.03</v>
      </c>
      <c r="Z25" s="3">
        <v>13.57</v>
      </c>
      <c r="AA25" s="3">
        <v>14.69</v>
      </c>
      <c r="AB25" s="3">
        <v>7.78</v>
      </c>
      <c r="AC25" s="3">
        <v>252.79</v>
      </c>
      <c r="AD25" s="3">
        <v>8.8000000000000007</v>
      </c>
      <c r="AE25" s="3">
        <v>28.49</v>
      </c>
      <c r="AF25" s="3">
        <v>4.26</v>
      </c>
      <c r="AG25" s="3" t="s">
        <v>68</v>
      </c>
      <c r="AH25" s="3">
        <v>2.38</v>
      </c>
      <c r="AI25" s="3">
        <v>159.38999999999999</v>
      </c>
      <c r="AJ25" s="3">
        <v>3.04</v>
      </c>
      <c r="AK25" s="3">
        <v>123.98</v>
      </c>
      <c r="AL25" s="3">
        <v>2.39</v>
      </c>
      <c r="AM25" s="3">
        <v>249.48</v>
      </c>
      <c r="AN25" s="3">
        <v>3.32</v>
      </c>
      <c r="AO25" s="3">
        <v>8.0299999999999994</v>
      </c>
      <c r="AP25" s="3">
        <v>1.74</v>
      </c>
      <c r="AQ25" s="3" t="s">
        <v>68</v>
      </c>
      <c r="AR25" s="3">
        <v>4.7300000000000004</v>
      </c>
      <c r="AS25" s="3">
        <v>5.71</v>
      </c>
      <c r="AT25" s="3">
        <v>3.03</v>
      </c>
      <c r="AU25" s="3" t="s">
        <v>68</v>
      </c>
      <c r="AV25" s="3">
        <v>6.42</v>
      </c>
      <c r="AW25" s="3">
        <v>5.0999999999999996</v>
      </c>
      <c r="AX25" s="3">
        <v>3.21</v>
      </c>
      <c r="AY25" s="3" t="s">
        <v>68</v>
      </c>
      <c r="AZ25" s="3">
        <v>7.37</v>
      </c>
      <c r="BA25" s="3">
        <v>20.72</v>
      </c>
      <c r="BB25" s="3">
        <v>9.93</v>
      </c>
      <c r="BC25" s="3">
        <v>17.690000000000001</v>
      </c>
      <c r="BD25" s="3">
        <v>3.27</v>
      </c>
      <c r="BE25" s="3">
        <v>260</v>
      </c>
      <c r="BF25" s="3">
        <v>15.64</v>
      </c>
      <c r="BG25" s="3" t="s">
        <v>68</v>
      </c>
      <c r="BH25" s="3">
        <v>23.69</v>
      </c>
      <c r="BI25" s="3">
        <v>4.9800000000000004</v>
      </c>
      <c r="BJ25" s="3">
        <v>2.4500000000000002</v>
      </c>
      <c r="BK25" s="3">
        <v>5.82</v>
      </c>
      <c r="BL25" s="3">
        <v>3.57</v>
      </c>
      <c r="BM25" s="3">
        <v>102.56</v>
      </c>
      <c r="BN25" s="3">
        <v>4.9400000000000004</v>
      </c>
      <c r="BO25" s="3">
        <v>15.24</v>
      </c>
      <c r="BP25" s="3">
        <v>2.33</v>
      </c>
      <c r="BQ25" s="3" t="s">
        <v>68</v>
      </c>
      <c r="BR25" s="3">
        <v>4.9400000000000004</v>
      </c>
    </row>
    <row r="26" spans="1:70" ht="14.25" customHeight="1">
      <c r="A26" s="2">
        <v>24</v>
      </c>
      <c r="B26" s="2">
        <f t="shared" si="0"/>
        <v>1577.653345724907</v>
      </c>
      <c r="C26" s="3">
        <v>16347.23</v>
      </c>
      <c r="D26" s="3">
        <v>162.88</v>
      </c>
      <c r="E26" s="3">
        <v>695.59</v>
      </c>
      <c r="F26" s="3">
        <v>271.37</v>
      </c>
      <c r="G26" s="3">
        <v>1371.2</v>
      </c>
      <c r="H26" s="3">
        <v>145.32</v>
      </c>
      <c r="I26" s="3">
        <v>3877.05</v>
      </c>
      <c r="J26" s="3">
        <v>119.55</v>
      </c>
      <c r="K26" s="3">
        <v>38.53</v>
      </c>
      <c r="L26" s="3">
        <v>14.62</v>
      </c>
      <c r="M26" s="3">
        <v>3323.07</v>
      </c>
      <c r="N26" s="3">
        <v>47.42</v>
      </c>
      <c r="O26" s="3">
        <v>89.49</v>
      </c>
      <c r="P26" s="3">
        <v>12.46</v>
      </c>
      <c r="Q26" s="3">
        <v>30.4</v>
      </c>
      <c r="R26" s="3">
        <v>7.15</v>
      </c>
      <c r="S26" s="3">
        <v>60.71</v>
      </c>
      <c r="T26" s="3">
        <v>23.22</v>
      </c>
      <c r="U26" s="3">
        <v>16816.900000000001</v>
      </c>
      <c r="V26" s="3">
        <v>115.09</v>
      </c>
      <c r="W26" s="3" t="s">
        <v>68</v>
      </c>
      <c r="X26" s="3">
        <v>62.01</v>
      </c>
      <c r="Y26" s="3">
        <v>46.98</v>
      </c>
      <c r="Z26" s="3">
        <v>12.06</v>
      </c>
      <c r="AA26" s="3" t="s">
        <v>68</v>
      </c>
      <c r="AB26" s="3">
        <v>10.37</v>
      </c>
      <c r="AC26" s="3">
        <v>119.87</v>
      </c>
      <c r="AD26" s="3">
        <v>6.24</v>
      </c>
      <c r="AE26" s="3">
        <v>16.88</v>
      </c>
      <c r="AF26" s="3">
        <v>3.11</v>
      </c>
      <c r="AG26" s="3" t="s">
        <v>68</v>
      </c>
      <c r="AH26" s="3">
        <v>2.14</v>
      </c>
      <c r="AI26" s="3">
        <v>78.290000000000006</v>
      </c>
      <c r="AJ26" s="3">
        <v>2.08</v>
      </c>
      <c r="AK26" s="3">
        <v>66.2</v>
      </c>
      <c r="AL26" s="3">
        <v>1.71</v>
      </c>
      <c r="AM26" s="3">
        <v>157.56</v>
      </c>
      <c r="AN26" s="3">
        <v>2.5499999999999998</v>
      </c>
      <c r="AO26" s="3">
        <v>3.84</v>
      </c>
      <c r="AP26" s="3">
        <v>1.52</v>
      </c>
      <c r="AQ26" s="3" t="s">
        <v>68</v>
      </c>
      <c r="AR26" s="3">
        <v>4.42</v>
      </c>
      <c r="AS26" s="3" t="s">
        <v>68</v>
      </c>
      <c r="AT26" s="3">
        <v>4.12</v>
      </c>
      <c r="AU26" s="3" t="s">
        <v>68</v>
      </c>
      <c r="AV26" s="3">
        <v>5.98</v>
      </c>
      <c r="AW26" s="3">
        <v>5.55</v>
      </c>
      <c r="AX26" s="3">
        <v>2.97</v>
      </c>
      <c r="AY26" s="3">
        <v>9.51</v>
      </c>
      <c r="AZ26" s="3">
        <v>4.57</v>
      </c>
      <c r="BA26" s="3">
        <v>44</v>
      </c>
      <c r="BB26" s="3">
        <v>9.34</v>
      </c>
      <c r="BC26" s="3">
        <v>25.31</v>
      </c>
      <c r="BD26" s="3">
        <v>3.05</v>
      </c>
      <c r="BE26" s="3">
        <v>215.62</v>
      </c>
      <c r="BF26" s="3">
        <v>14.25</v>
      </c>
      <c r="BG26" s="3" t="s">
        <v>68</v>
      </c>
      <c r="BH26" s="3">
        <v>22.08</v>
      </c>
      <c r="BI26" s="3">
        <v>3.51</v>
      </c>
      <c r="BJ26" s="3">
        <v>2.17</v>
      </c>
      <c r="BK26" s="3" t="s">
        <v>68</v>
      </c>
      <c r="BL26" s="3">
        <v>4.82</v>
      </c>
      <c r="BM26" s="3">
        <v>53.46</v>
      </c>
      <c r="BN26" s="3">
        <v>3.58</v>
      </c>
      <c r="BO26" s="3">
        <v>7.43</v>
      </c>
      <c r="BP26" s="3">
        <v>1.77</v>
      </c>
      <c r="BQ26" s="3" t="s">
        <v>68</v>
      </c>
      <c r="BR26" s="3">
        <v>3.65</v>
      </c>
    </row>
    <row r="27" spans="1:70" ht="14.25" customHeight="1">
      <c r="A27" s="2">
        <v>25</v>
      </c>
      <c r="B27" s="2">
        <f t="shared" si="0"/>
        <v>1559.0659851301116</v>
      </c>
      <c r="C27" s="3">
        <v>17630.009999999998</v>
      </c>
      <c r="D27" s="3">
        <v>180.77</v>
      </c>
      <c r="E27" s="3">
        <v>786.64</v>
      </c>
      <c r="F27" s="3">
        <v>305.36</v>
      </c>
      <c r="G27" s="3">
        <v>5194.3</v>
      </c>
      <c r="H27" s="3">
        <v>253.92</v>
      </c>
      <c r="I27" s="3">
        <v>3641.43</v>
      </c>
      <c r="J27" s="3">
        <v>121.69</v>
      </c>
      <c r="K27" s="3">
        <v>45.84</v>
      </c>
      <c r="L27" s="3">
        <v>15.11</v>
      </c>
      <c r="M27" s="3">
        <v>4109.6000000000004</v>
      </c>
      <c r="N27" s="3">
        <v>55.27</v>
      </c>
      <c r="O27" s="3">
        <v>119.02</v>
      </c>
      <c r="P27" s="3">
        <v>14.4</v>
      </c>
      <c r="Q27" s="3">
        <v>49.51</v>
      </c>
      <c r="R27" s="3">
        <v>7.85</v>
      </c>
      <c r="S27" s="3">
        <v>66.64</v>
      </c>
      <c r="T27" s="3">
        <v>23.9</v>
      </c>
      <c r="U27" s="3">
        <v>23965.919999999998</v>
      </c>
      <c r="V27" s="3">
        <v>137.74</v>
      </c>
      <c r="W27" s="3" t="s">
        <v>68</v>
      </c>
      <c r="X27" s="3">
        <v>74.930000000000007</v>
      </c>
      <c r="Y27" s="3">
        <v>52.77</v>
      </c>
      <c r="Z27" s="3">
        <v>12.58</v>
      </c>
      <c r="AA27" s="3">
        <v>12.61</v>
      </c>
      <c r="AB27" s="3">
        <v>7.26</v>
      </c>
      <c r="AC27" s="3">
        <v>540.32000000000005</v>
      </c>
      <c r="AD27" s="3">
        <v>11.72</v>
      </c>
      <c r="AE27" s="3">
        <v>34.79</v>
      </c>
      <c r="AF27" s="3">
        <v>3.95</v>
      </c>
      <c r="AG27" s="3" t="s">
        <v>68</v>
      </c>
      <c r="AH27" s="3">
        <v>2.17</v>
      </c>
      <c r="AI27" s="3">
        <v>112.84</v>
      </c>
      <c r="AJ27" s="3">
        <v>2.4700000000000002</v>
      </c>
      <c r="AK27" s="3">
        <v>96.28</v>
      </c>
      <c r="AL27" s="3">
        <v>2.0299999999999998</v>
      </c>
      <c r="AM27" s="3">
        <v>221.11</v>
      </c>
      <c r="AN27" s="3">
        <v>2.99</v>
      </c>
      <c r="AO27" s="3">
        <v>6.69</v>
      </c>
      <c r="AP27" s="3">
        <v>1.61</v>
      </c>
      <c r="AQ27" s="3" t="s">
        <v>68</v>
      </c>
      <c r="AR27" s="3">
        <v>4.5599999999999996</v>
      </c>
      <c r="AS27" s="3">
        <v>4.51</v>
      </c>
      <c r="AT27" s="3">
        <v>2.87</v>
      </c>
      <c r="AU27" s="3" t="s">
        <v>68</v>
      </c>
      <c r="AV27" s="3">
        <v>6.14</v>
      </c>
      <c r="AW27" s="3">
        <v>6.42</v>
      </c>
      <c r="AX27" s="3">
        <v>3.08</v>
      </c>
      <c r="AY27" s="3" t="s">
        <v>68</v>
      </c>
      <c r="AZ27" s="3">
        <v>7.05</v>
      </c>
      <c r="BA27" s="3">
        <v>18.489999999999998</v>
      </c>
      <c r="BB27" s="3">
        <v>9.48</v>
      </c>
      <c r="BC27" s="3">
        <v>13.25</v>
      </c>
      <c r="BD27" s="3">
        <v>3.11</v>
      </c>
      <c r="BE27" s="3">
        <v>206.05</v>
      </c>
      <c r="BF27" s="3">
        <v>14.71</v>
      </c>
      <c r="BG27" s="3" t="s">
        <v>68</v>
      </c>
      <c r="BH27" s="3">
        <v>22.75</v>
      </c>
      <c r="BI27" s="3" t="s">
        <v>68</v>
      </c>
      <c r="BJ27" s="3">
        <v>3.34</v>
      </c>
      <c r="BK27" s="3" t="s">
        <v>68</v>
      </c>
      <c r="BL27" s="3">
        <v>5.0199999999999996</v>
      </c>
      <c r="BM27" s="3">
        <v>88.68</v>
      </c>
      <c r="BN27" s="3">
        <v>4.42</v>
      </c>
      <c r="BO27" s="3">
        <v>14.92</v>
      </c>
      <c r="BP27" s="3">
        <v>2.11</v>
      </c>
      <c r="BQ27" s="3" t="s">
        <v>68</v>
      </c>
      <c r="BR27" s="3">
        <v>4.13</v>
      </c>
    </row>
    <row r="28" spans="1:70" ht="14.25" customHeight="1">
      <c r="A28" s="2">
        <v>26</v>
      </c>
      <c r="B28" s="2">
        <f t="shared" si="0"/>
        <v>1540.4786245353159</v>
      </c>
      <c r="C28" s="3">
        <v>20938.2</v>
      </c>
      <c r="D28" s="3">
        <v>198.65</v>
      </c>
      <c r="E28" s="3">
        <v>685.19</v>
      </c>
      <c r="F28" s="3">
        <v>307.99</v>
      </c>
      <c r="G28" s="3">
        <v>6309.35</v>
      </c>
      <c r="H28" s="3">
        <v>279.35000000000002</v>
      </c>
      <c r="I28" s="3">
        <v>3432.99</v>
      </c>
      <c r="J28" s="3">
        <v>121.98</v>
      </c>
      <c r="K28" s="3">
        <v>36.57</v>
      </c>
      <c r="L28" s="3">
        <v>14.75</v>
      </c>
      <c r="M28" s="3">
        <v>4696.45</v>
      </c>
      <c r="N28" s="3">
        <v>60.22</v>
      </c>
      <c r="O28" s="3">
        <v>135.83000000000001</v>
      </c>
      <c r="P28" s="3">
        <v>15.68</v>
      </c>
      <c r="Q28" s="3">
        <v>61.7</v>
      </c>
      <c r="R28" s="3">
        <v>8.1999999999999993</v>
      </c>
      <c r="S28" s="3">
        <v>69.61</v>
      </c>
      <c r="T28" s="3">
        <v>23.99</v>
      </c>
      <c r="U28" s="3">
        <v>22775.8</v>
      </c>
      <c r="V28" s="3">
        <v>134.71</v>
      </c>
      <c r="W28" s="3" t="s">
        <v>68</v>
      </c>
      <c r="X28" s="3">
        <v>72.77</v>
      </c>
      <c r="Y28" s="3">
        <v>46.77</v>
      </c>
      <c r="Z28" s="3">
        <v>12.48</v>
      </c>
      <c r="AA28" s="3">
        <v>25.39</v>
      </c>
      <c r="AB28" s="3">
        <v>7.54</v>
      </c>
      <c r="AC28" s="3">
        <v>636.69000000000005</v>
      </c>
      <c r="AD28" s="3">
        <v>12.67</v>
      </c>
      <c r="AE28" s="3">
        <v>33.630000000000003</v>
      </c>
      <c r="AF28" s="3">
        <v>4.1100000000000003</v>
      </c>
      <c r="AG28" s="3" t="s">
        <v>68</v>
      </c>
      <c r="AH28" s="3">
        <v>2.21</v>
      </c>
      <c r="AI28" s="3">
        <v>141.47</v>
      </c>
      <c r="AJ28" s="3">
        <v>2.75</v>
      </c>
      <c r="AK28" s="3">
        <v>115.2</v>
      </c>
      <c r="AL28" s="3">
        <v>2.21</v>
      </c>
      <c r="AM28" s="3">
        <v>242.73</v>
      </c>
      <c r="AN28" s="3">
        <v>3.13</v>
      </c>
      <c r="AO28" s="3">
        <v>6.76</v>
      </c>
      <c r="AP28" s="3">
        <v>1.64</v>
      </c>
      <c r="AQ28" s="3" t="s">
        <v>68</v>
      </c>
      <c r="AR28" s="3">
        <v>4.42</v>
      </c>
      <c r="AS28" s="3" t="s">
        <v>68</v>
      </c>
      <c r="AT28" s="3">
        <v>4.12</v>
      </c>
      <c r="AU28" s="3" t="s">
        <v>68</v>
      </c>
      <c r="AV28" s="3">
        <v>6.01</v>
      </c>
      <c r="AW28" s="3" t="s">
        <v>68</v>
      </c>
      <c r="AX28" s="3">
        <v>4.47</v>
      </c>
      <c r="AY28" s="3" t="s">
        <v>68</v>
      </c>
      <c r="AZ28" s="3">
        <v>6.77</v>
      </c>
      <c r="BA28" s="3" t="s">
        <v>68</v>
      </c>
      <c r="BB28" s="3">
        <v>13.75</v>
      </c>
      <c r="BC28" s="3">
        <v>9.26</v>
      </c>
      <c r="BD28" s="3">
        <v>3.03</v>
      </c>
      <c r="BE28" s="3">
        <v>213.13</v>
      </c>
      <c r="BF28" s="3">
        <v>14.44</v>
      </c>
      <c r="BG28" s="3" t="s">
        <v>68</v>
      </c>
      <c r="BH28" s="3">
        <v>22.63</v>
      </c>
      <c r="BI28" s="3" t="s">
        <v>68</v>
      </c>
      <c r="BJ28" s="3">
        <v>3.36</v>
      </c>
      <c r="BK28" s="3">
        <v>5.43</v>
      </c>
      <c r="BL28" s="3">
        <v>3.37</v>
      </c>
      <c r="BM28" s="3">
        <v>100.74</v>
      </c>
      <c r="BN28" s="3">
        <v>4.68</v>
      </c>
      <c r="BO28" s="3">
        <v>15.14</v>
      </c>
      <c r="BP28" s="3">
        <v>2.17</v>
      </c>
      <c r="BQ28" s="3" t="s">
        <v>68</v>
      </c>
      <c r="BR28" s="3">
        <v>4.57</v>
      </c>
    </row>
    <row r="29" spans="1:70" ht="14.25" customHeight="1">
      <c r="A29" s="2">
        <v>27</v>
      </c>
      <c r="B29" s="2">
        <f t="shared" si="0"/>
        <v>1521.8912639405205</v>
      </c>
      <c r="C29" s="3">
        <v>21432.73</v>
      </c>
      <c r="D29" s="3">
        <v>198.14</v>
      </c>
      <c r="E29" s="3">
        <v>685.88</v>
      </c>
      <c r="F29" s="3">
        <v>302.3</v>
      </c>
      <c r="G29" s="3">
        <v>2524.09</v>
      </c>
      <c r="H29" s="3">
        <v>191.77</v>
      </c>
      <c r="I29" s="3">
        <v>3570.21</v>
      </c>
      <c r="J29" s="3">
        <v>118.82</v>
      </c>
      <c r="K29" s="3">
        <v>23.85</v>
      </c>
      <c r="L29" s="3">
        <v>14.32</v>
      </c>
      <c r="M29" s="3">
        <v>5066.55</v>
      </c>
      <c r="N29" s="3">
        <v>61.09</v>
      </c>
      <c r="O29" s="3">
        <v>150.46</v>
      </c>
      <c r="P29" s="3">
        <v>15.86</v>
      </c>
      <c r="Q29" s="3">
        <v>67.37</v>
      </c>
      <c r="R29" s="3">
        <v>8.15</v>
      </c>
      <c r="S29" s="3">
        <v>68.91</v>
      </c>
      <c r="T29" s="3">
        <v>23.98</v>
      </c>
      <c r="U29" s="3">
        <v>23109.13</v>
      </c>
      <c r="V29" s="3">
        <v>135.38999999999999</v>
      </c>
      <c r="W29" s="3" t="s">
        <v>68</v>
      </c>
      <c r="X29" s="3">
        <v>73.5</v>
      </c>
      <c r="Y29" s="3">
        <v>46.92</v>
      </c>
      <c r="Z29" s="3">
        <v>12.5</v>
      </c>
      <c r="AA29" s="3">
        <v>17.440000000000001</v>
      </c>
      <c r="AB29" s="3">
        <v>7.36</v>
      </c>
      <c r="AC29" s="3">
        <v>306.13</v>
      </c>
      <c r="AD29" s="3">
        <v>9.1</v>
      </c>
      <c r="AE29" s="3">
        <v>23.83</v>
      </c>
      <c r="AF29" s="3">
        <v>4.1100000000000003</v>
      </c>
      <c r="AG29" s="3" t="s">
        <v>68</v>
      </c>
      <c r="AH29" s="3">
        <v>2.23</v>
      </c>
      <c r="AI29" s="3">
        <v>158.75</v>
      </c>
      <c r="AJ29" s="3">
        <v>2.89</v>
      </c>
      <c r="AK29" s="3">
        <v>124.34</v>
      </c>
      <c r="AL29" s="3">
        <v>2.29</v>
      </c>
      <c r="AM29" s="3">
        <v>253.22</v>
      </c>
      <c r="AN29" s="3">
        <v>3.19</v>
      </c>
      <c r="AO29" s="3">
        <v>4.8600000000000003</v>
      </c>
      <c r="AP29" s="3">
        <v>1.63</v>
      </c>
      <c r="AQ29" s="3" t="s">
        <v>68</v>
      </c>
      <c r="AR29" s="3">
        <v>4.62</v>
      </c>
      <c r="AS29" s="3" t="s">
        <v>68</v>
      </c>
      <c r="AT29" s="3">
        <v>4.28</v>
      </c>
      <c r="AU29" s="3" t="s">
        <v>68</v>
      </c>
      <c r="AV29" s="3">
        <v>6.15</v>
      </c>
      <c r="AW29" s="3">
        <v>6.47</v>
      </c>
      <c r="AX29" s="3">
        <v>3.09</v>
      </c>
      <c r="AY29" s="3">
        <v>8.08</v>
      </c>
      <c r="AZ29" s="3">
        <v>4.72</v>
      </c>
      <c r="BA29" s="3" t="s">
        <v>68</v>
      </c>
      <c r="BB29" s="3">
        <v>14.21</v>
      </c>
      <c r="BC29" s="3">
        <v>15.05</v>
      </c>
      <c r="BD29" s="3">
        <v>3.12</v>
      </c>
      <c r="BE29" s="3">
        <v>243.86</v>
      </c>
      <c r="BF29" s="3">
        <v>14.93</v>
      </c>
      <c r="BG29" s="3" t="s">
        <v>68</v>
      </c>
      <c r="BH29" s="3">
        <v>22.2</v>
      </c>
      <c r="BI29" s="3">
        <v>4.93</v>
      </c>
      <c r="BJ29" s="3">
        <v>2.3199999999999998</v>
      </c>
      <c r="BK29" s="3">
        <v>5.7</v>
      </c>
      <c r="BL29" s="3">
        <v>3.36</v>
      </c>
      <c r="BM29" s="3">
        <v>110.39</v>
      </c>
      <c r="BN29" s="3">
        <v>4.8600000000000003</v>
      </c>
      <c r="BO29" s="3">
        <v>18.16</v>
      </c>
      <c r="BP29" s="3">
        <v>2.27</v>
      </c>
      <c r="BQ29" s="3" t="s">
        <v>68</v>
      </c>
      <c r="BR29" s="3">
        <v>4.7</v>
      </c>
    </row>
    <row r="30" spans="1:70" ht="14.25" customHeight="1">
      <c r="A30" s="2">
        <v>28</v>
      </c>
      <c r="B30" s="2">
        <f t="shared" si="0"/>
        <v>1503.3039033457248</v>
      </c>
      <c r="C30" s="3">
        <v>21543.38</v>
      </c>
      <c r="D30" s="3">
        <v>197.94</v>
      </c>
      <c r="E30" s="3">
        <v>781.96</v>
      </c>
      <c r="F30" s="3">
        <v>306.12</v>
      </c>
      <c r="G30" s="3">
        <v>2250.69</v>
      </c>
      <c r="H30" s="3">
        <v>183.78</v>
      </c>
      <c r="I30" s="3">
        <v>3819.1</v>
      </c>
      <c r="J30" s="3">
        <v>121.63</v>
      </c>
      <c r="K30" s="3">
        <v>38.799999999999997</v>
      </c>
      <c r="L30" s="3">
        <v>15</v>
      </c>
      <c r="M30" s="3">
        <v>4906.25</v>
      </c>
      <c r="N30" s="3">
        <v>59.78</v>
      </c>
      <c r="O30" s="3">
        <v>139.56</v>
      </c>
      <c r="P30" s="3">
        <v>15.47</v>
      </c>
      <c r="Q30" s="3">
        <v>67.08</v>
      </c>
      <c r="R30" s="3">
        <v>8.11</v>
      </c>
      <c r="S30" s="3">
        <v>73.27</v>
      </c>
      <c r="T30" s="3">
        <v>23.95</v>
      </c>
      <c r="U30" s="3">
        <v>22167.82</v>
      </c>
      <c r="V30" s="3">
        <v>132.57</v>
      </c>
      <c r="W30" s="3" t="s">
        <v>68</v>
      </c>
      <c r="X30" s="3">
        <v>71.319999999999993</v>
      </c>
      <c r="Y30" s="3">
        <v>43.86</v>
      </c>
      <c r="Z30" s="3">
        <v>12.37</v>
      </c>
      <c r="AA30" s="3">
        <v>14.87</v>
      </c>
      <c r="AB30" s="3">
        <v>7.28</v>
      </c>
      <c r="AC30" s="3">
        <v>266.62</v>
      </c>
      <c r="AD30" s="3">
        <v>8.58</v>
      </c>
      <c r="AE30" s="3">
        <v>31.22</v>
      </c>
      <c r="AF30" s="3">
        <v>4.24</v>
      </c>
      <c r="AG30" s="3" t="s">
        <v>68</v>
      </c>
      <c r="AH30" s="3">
        <v>2.2599999999999998</v>
      </c>
      <c r="AI30" s="3">
        <v>143.83000000000001</v>
      </c>
      <c r="AJ30" s="3">
        <v>2.77</v>
      </c>
      <c r="AK30" s="3">
        <v>114.97</v>
      </c>
      <c r="AL30" s="3">
        <v>2.2000000000000002</v>
      </c>
      <c r="AM30" s="3">
        <v>245.36</v>
      </c>
      <c r="AN30" s="3">
        <v>3.14</v>
      </c>
      <c r="AO30" s="3">
        <v>4.21</v>
      </c>
      <c r="AP30" s="3">
        <v>1.62</v>
      </c>
      <c r="AQ30" s="3" t="s">
        <v>68</v>
      </c>
      <c r="AR30" s="3">
        <v>4.46</v>
      </c>
      <c r="AS30" s="3" t="s">
        <v>68</v>
      </c>
      <c r="AT30" s="3">
        <v>4.2</v>
      </c>
      <c r="AU30" s="3" t="s">
        <v>68</v>
      </c>
      <c r="AV30" s="3">
        <v>6.05</v>
      </c>
      <c r="AW30" s="3" t="s">
        <v>68</v>
      </c>
      <c r="AX30" s="3">
        <v>4.54</v>
      </c>
      <c r="AY30" s="3" t="s">
        <v>68</v>
      </c>
      <c r="AZ30" s="3">
        <v>6.97</v>
      </c>
      <c r="BA30" s="3" t="s">
        <v>68</v>
      </c>
      <c r="BB30" s="3">
        <v>13.95</v>
      </c>
      <c r="BC30" s="3">
        <v>8.91</v>
      </c>
      <c r="BD30" s="3">
        <v>3.07</v>
      </c>
      <c r="BE30" s="3">
        <v>209.89</v>
      </c>
      <c r="BF30" s="3">
        <v>14.62</v>
      </c>
      <c r="BG30" s="3" t="s">
        <v>68</v>
      </c>
      <c r="BH30" s="3">
        <v>22.17</v>
      </c>
      <c r="BI30" s="3">
        <v>4.8600000000000003</v>
      </c>
      <c r="BJ30" s="3">
        <v>2.33</v>
      </c>
      <c r="BK30" s="3">
        <v>5.91</v>
      </c>
      <c r="BL30" s="3">
        <v>3.37</v>
      </c>
      <c r="BM30" s="3">
        <v>113.65</v>
      </c>
      <c r="BN30" s="3">
        <v>4.92</v>
      </c>
      <c r="BO30" s="3">
        <v>17.239999999999998</v>
      </c>
      <c r="BP30" s="3">
        <v>2.2400000000000002</v>
      </c>
      <c r="BQ30" s="3" t="s">
        <v>68</v>
      </c>
      <c r="BR30" s="3">
        <v>4.57</v>
      </c>
    </row>
    <row r="31" spans="1:70" ht="14.25" customHeight="1">
      <c r="A31" s="2">
        <v>29</v>
      </c>
      <c r="B31" s="2">
        <f t="shared" si="0"/>
        <v>1484.7165427509294</v>
      </c>
      <c r="C31" s="3">
        <v>19447.57</v>
      </c>
      <c r="D31" s="3">
        <v>192.14</v>
      </c>
      <c r="E31" s="3">
        <v>1230.6600000000001</v>
      </c>
      <c r="F31" s="3">
        <v>338.51</v>
      </c>
      <c r="G31" s="3">
        <v>2199.7399999999998</v>
      </c>
      <c r="H31" s="3">
        <v>186.69</v>
      </c>
      <c r="I31" s="3">
        <v>3181.6</v>
      </c>
      <c r="J31" s="3">
        <v>120.96</v>
      </c>
      <c r="K31" s="3">
        <v>42.86</v>
      </c>
      <c r="L31" s="3">
        <v>14.61</v>
      </c>
      <c r="M31" s="3">
        <v>4269.24</v>
      </c>
      <c r="N31" s="3">
        <v>57.35</v>
      </c>
      <c r="O31" s="3">
        <v>124.22</v>
      </c>
      <c r="P31" s="3">
        <v>14.96</v>
      </c>
      <c r="Q31" s="3">
        <v>46.93</v>
      </c>
      <c r="R31" s="3">
        <v>8.0399999999999991</v>
      </c>
      <c r="S31" s="3">
        <v>73.95</v>
      </c>
      <c r="T31" s="3">
        <v>24.31</v>
      </c>
      <c r="U31" s="3">
        <v>26730.77</v>
      </c>
      <c r="V31" s="3">
        <v>146.35</v>
      </c>
      <c r="W31" s="3" t="s">
        <v>68</v>
      </c>
      <c r="X31" s="3">
        <v>78.900000000000006</v>
      </c>
      <c r="Y31" s="3">
        <v>38.72</v>
      </c>
      <c r="Z31" s="3">
        <v>12.49</v>
      </c>
      <c r="AA31" s="3">
        <v>24.91</v>
      </c>
      <c r="AB31" s="3">
        <v>7.57</v>
      </c>
      <c r="AC31" s="3">
        <v>232.93</v>
      </c>
      <c r="AD31" s="3">
        <v>8.16</v>
      </c>
      <c r="AE31" s="3">
        <v>37.49</v>
      </c>
      <c r="AF31" s="3">
        <v>4.09</v>
      </c>
      <c r="AG31" s="3" t="s">
        <v>68</v>
      </c>
      <c r="AH31" s="3">
        <v>2.2400000000000002</v>
      </c>
      <c r="AI31" s="3">
        <v>129.27000000000001</v>
      </c>
      <c r="AJ31" s="3">
        <v>2.65</v>
      </c>
      <c r="AK31" s="3">
        <v>108.63</v>
      </c>
      <c r="AL31" s="3">
        <v>2.16</v>
      </c>
      <c r="AM31" s="3">
        <v>226.85</v>
      </c>
      <c r="AN31" s="3">
        <v>3.05</v>
      </c>
      <c r="AO31" s="3">
        <v>3.88</v>
      </c>
      <c r="AP31" s="3">
        <v>1.61</v>
      </c>
      <c r="AQ31" s="3" t="s">
        <v>68</v>
      </c>
      <c r="AR31" s="3">
        <v>4.63</v>
      </c>
      <c r="AS31" s="3" t="s">
        <v>68</v>
      </c>
      <c r="AT31" s="3">
        <v>4.26</v>
      </c>
      <c r="AU31" s="3" t="s">
        <v>68</v>
      </c>
      <c r="AV31" s="3">
        <v>6.07</v>
      </c>
      <c r="AW31" s="3" t="s">
        <v>68</v>
      </c>
      <c r="AX31" s="3">
        <v>4.57</v>
      </c>
      <c r="AY31" s="3" t="s">
        <v>68</v>
      </c>
      <c r="AZ31" s="3">
        <v>6.95</v>
      </c>
      <c r="BA31" s="3" t="s">
        <v>68</v>
      </c>
      <c r="BB31" s="3">
        <v>14.09</v>
      </c>
      <c r="BC31" s="3" t="s">
        <v>68</v>
      </c>
      <c r="BD31" s="3">
        <v>4.62</v>
      </c>
      <c r="BE31" s="3">
        <v>162.58000000000001</v>
      </c>
      <c r="BF31" s="3">
        <v>14.51</v>
      </c>
      <c r="BG31" s="3" t="s">
        <v>68</v>
      </c>
      <c r="BH31" s="3">
        <v>22.06</v>
      </c>
      <c r="BI31" s="3">
        <v>5.57</v>
      </c>
      <c r="BJ31" s="3">
        <v>2.35</v>
      </c>
      <c r="BK31" s="3" t="s">
        <v>68</v>
      </c>
      <c r="BL31" s="3">
        <v>4.9400000000000004</v>
      </c>
      <c r="BM31" s="3">
        <v>94.19</v>
      </c>
      <c r="BN31" s="3">
        <v>4.57</v>
      </c>
      <c r="BO31" s="3">
        <v>13.24</v>
      </c>
      <c r="BP31" s="3">
        <v>2.12</v>
      </c>
      <c r="BQ31" s="3" t="s">
        <v>68</v>
      </c>
      <c r="BR31" s="3">
        <v>4.43</v>
      </c>
    </row>
    <row r="32" spans="1:70" ht="14.25" customHeight="1">
      <c r="A32" s="2">
        <v>30</v>
      </c>
      <c r="B32" s="2">
        <f t="shared" si="0"/>
        <v>1466.129182156134</v>
      </c>
      <c r="C32" s="3">
        <v>20150.45</v>
      </c>
      <c r="D32" s="3">
        <v>183.84</v>
      </c>
      <c r="E32" s="3">
        <v>663</v>
      </c>
      <c r="F32" s="3">
        <v>279.83999999999997</v>
      </c>
      <c r="G32" s="3">
        <v>1687.88</v>
      </c>
      <c r="H32" s="3">
        <v>158.93</v>
      </c>
      <c r="I32" s="3">
        <v>4584.68</v>
      </c>
      <c r="J32" s="3">
        <v>122.71</v>
      </c>
      <c r="K32" s="3">
        <v>29.55</v>
      </c>
      <c r="L32" s="3">
        <v>15.38</v>
      </c>
      <c r="M32" s="3">
        <v>4391.8500000000004</v>
      </c>
      <c r="N32" s="3">
        <v>54.71</v>
      </c>
      <c r="O32" s="3">
        <v>124.6</v>
      </c>
      <c r="P32" s="3">
        <v>14.23</v>
      </c>
      <c r="Q32" s="3">
        <v>45.72</v>
      </c>
      <c r="R32" s="3">
        <v>7.52</v>
      </c>
      <c r="S32" s="3">
        <v>92.26</v>
      </c>
      <c r="T32" s="3">
        <v>24.26</v>
      </c>
      <c r="U32" s="3">
        <v>18130.41</v>
      </c>
      <c r="V32" s="3">
        <v>120.83</v>
      </c>
      <c r="W32" s="3" t="s">
        <v>68</v>
      </c>
      <c r="X32" s="3">
        <v>65.569999999999993</v>
      </c>
      <c r="Y32" s="3">
        <v>45.38</v>
      </c>
      <c r="Z32" s="3">
        <v>12.37</v>
      </c>
      <c r="AA32" s="3">
        <v>11.67</v>
      </c>
      <c r="AB32" s="3">
        <v>7.2</v>
      </c>
      <c r="AC32" s="3">
        <v>233.12</v>
      </c>
      <c r="AD32" s="3">
        <v>8.16</v>
      </c>
      <c r="AE32" s="3">
        <v>22.75</v>
      </c>
      <c r="AF32" s="3">
        <v>3.82</v>
      </c>
      <c r="AG32" s="3" t="s">
        <v>68</v>
      </c>
      <c r="AH32" s="3">
        <v>2.19</v>
      </c>
      <c r="AI32" s="3">
        <v>123.22</v>
      </c>
      <c r="AJ32" s="3">
        <v>2.58</v>
      </c>
      <c r="AK32" s="3">
        <v>99.17</v>
      </c>
      <c r="AL32" s="3">
        <v>2.0699999999999998</v>
      </c>
      <c r="AM32" s="3">
        <v>277.94</v>
      </c>
      <c r="AN32" s="3">
        <v>3.31</v>
      </c>
      <c r="AO32" s="3">
        <v>4.88</v>
      </c>
      <c r="AP32" s="3">
        <v>1.65</v>
      </c>
      <c r="AQ32" s="3" t="s">
        <v>68</v>
      </c>
      <c r="AR32" s="3">
        <v>4.51</v>
      </c>
      <c r="AS32" s="3" t="s">
        <v>68</v>
      </c>
      <c r="AT32" s="3">
        <v>4.13</v>
      </c>
      <c r="AU32" s="3">
        <v>6.32</v>
      </c>
      <c r="AV32" s="3">
        <v>4.07</v>
      </c>
      <c r="AW32" s="3">
        <v>7.61</v>
      </c>
      <c r="AX32" s="3">
        <v>3.03</v>
      </c>
      <c r="AY32" s="3">
        <v>8.0299999999999994</v>
      </c>
      <c r="AZ32" s="3">
        <v>4.63</v>
      </c>
      <c r="BA32" s="3">
        <v>20.38</v>
      </c>
      <c r="BB32" s="3">
        <v>9.32</v>
      </c>
      <c r="BC32" s="3">
        <v>20.94</v>
      </c>
      <c r="BD32" s="3">
        <v>3.08</v>
      </c>
      <c r="BE32" s="3">
        <v>226.87</v>
      </c>
      <c r="BF32" s="3">
        <v>14.53</v>
      </c>
      <c r="BG32" s="3" t="s">
        <v>68</v>
      </c>
      <c r="BH32" s="3">
        <v>22.11</v>
      </c>
      <c r="BI32" s="3" t="s">
        <v>68</v>
      </c>
      <c r="BJ32" s="3">
        <v>3.33</v>
      </c>
      <c r="BK32" s="3">
        <v>6.24</v>
      </c>
      <c r="BL32" s="3">
        <v>3.36</v>
      </c>
      <c r="BM32" s="3">
        <v>89.77</v>
      </c>
      <c r="BN32" s="3">
        <v>4.47</v>
      </c>
      <c r="BO32" s="3">
        <v>14.17</v>
      </c>
      <c r="BP32" s="3">
        <v>2.11</v>
      </c>
      <c r="BQ32" s="3" t="s">
        <v>68</v>
      </c>
      <c r="BR32" s="3">
        <v>4.24</v>
      </c>
    </row>
    <row r="33" spans="1:70" ht="14.25" customHeight="1">
      <c r="A33" s="2">
        <v>31</v>
      </c>
      <c r="B33" s="2">
        <f t="shared" si="0"/>
        <v>1447.5418215613383</v>
      </c>
      <c r="C33" s="3">
        <v>20045.37</v>
      </c>
      <c r="D33" s="3">
        <v>187.94</v>
      </c>
      <c r="E33" s="3">
        <v>595.9</v>
      </c>
      <c r="F33" s="3">
        <v>285.60000000000002</v>
      </c>
      <c r="G33" s="3">
        <v>1918.25</v>
      </c>
      <c r="H33" s="3">
        <v>170.33</v>
      </c>
      <c r="I33" s="3">
        <v>2821.01</v>
      </c>
      <c r="J33" s="3">
        <v>118.39</v>
      </c>
      <c r="K33" s="3">
        <v>42.83</v>
      </c>
      <c r="L33" s="3">
        <v>13.83</v>
      </c>
      <c r="M33" s="3">
        <v>4581.1000000000004</v>
      </c>
      <c r="N33" s="3">
        <v>57.03</v>
      </c>
      <c r="O33" s="3">
        <v>136.41999999999999</v>
      </c>
      <c r="P33" s="3">
        <v>14.86</v>
      </c>
      <c r="Q33" s="3">
        <v>52.45</v>
      </c>
      <c r="R33" s="3">
        <v>7.82</v>
      </c>
      <c r="S33" s="3">
        <v>74.81</v>
      </c>
      <c r="T33" s="3">
        <v>23.79</v>
      </c>
      <c r="U33" s="3">
        <v>20265.28</v>
      </c>
      <c r="V33" s="3">
        <v>126.21</v>
      </c>
      <c r="W33" s="3" t="s">
        <v>68</v>
      </c>
      <c r="X33" s="3">
        <v>68.650000000000006</v>
      </c>
      <c r="Y33" s="3">
        <v>44.29</v>
      </c>
      <c r="Z33" s="3">
        <v>12.3</v>
      </c>
      <c r="AA33" s="3">
        <v>21.85</v>
      </c>
      <c r="AB33" s="3">
        <v>7.37</v>
      </c>
      <c r="AC33" s="3">
        <v>281.56</v>
      </c>
      <c r="AD33" s="3">
        <v>8.74</v>
      </c>
      <c r="AE33" s="3">
        <v>23.49</v>
      </c>
      <c r="AF33" s="3">
        <v>4.21</v>
      </c>
      <c r="AG33" s="3" t="s">
        <v>68</v>
      </c>
      <c r="AH33" s="3">
        <v>2.1800000000000002</v>
      </c>
      <c r="AI33" s="3">
        <v>130.80000000000001</v>
      </c>
      <c r="AJ33" s="3">
        <v>2.63</v>
      </c>
      <c r="AK33" s="3">
        <v>103.3</v>
      </c>
      <c r="AL33" s="3">
        <v>2.09</v>
      </c>
      <c r="AM33" s="3">
        <v>257.73</v>
      </c>
      <c r="AN33" s="3">
        <v>3.18</v>
      </c>
      <c r="AO33" s="3">
        <v>5.41</v>
      </c>
      <c r="AP33" s="3">
        <v>1.62</v>
      </c>
      <c r="AQ33" s="3" t="s">
        <v>68</v>
      </c>
      <c r="AR33" s="3">
        <v>4.54</v>
      </c>
      <c r="AS33" s="3" t="s">
        <v>68</v>
      </c>
      <c r="AT33" s="3">
        <v>4.2300000000000004</v>
      </c>
      <c r="AU33" s="3" t="s">
        <v>68</v>
      </c>
      <c r="AV33" s="3">
        <v>6.14</v>
      </c>
      <c r="AW33" s="3">
        <v>6.81</v>
      </c>
      <c r="AX33" s="3">
        <v>3.06</v>
      </c>
      <c r="AY33" s="3" t="s">
        <v>68</v>
      </c>
      <c r="AZ33" s="3">
        <v>6.98</v>
      </c>
      <c r="BA33" s="3">
        <v>22.25</v>
      </c>
      <c r="BB33" s="3">
        <v>9.4499999999999993</v>
      </c>
      <c r="BC33" s="3">
        <v>16.149999999999999</v>
      </c>
      <c r="BD33" s="3">
        <v>3.1</v>
      </c>
      <c r="BE33" s="3">
        <v>231.77</v>
      </c>
      <c r="BF33" s="3">
        <v>14.74</v>
      </c>
      <c r="BG33" s="3" t="s">
        <v>68</v>
      </c>
      <c r="BH33" s="3">
        <v>22.15</v>
      </c>
      <c r="BI33" s="3">
        <v>3.7</v>
      </c>
      <c r="BJ33" s="3">
        <v>2.25</v>
      </c>
      <c r="BK33" s="3" t="s">
        <v>68</v>
      </c>
      <c r="BL33" s="3">
        <v>5</v>
      </c>
      <c r="BM33" s="3">
        <v>120.8</v>
      </c>
      <c r="BN33" s="3">
        <v>5.01</v>
      </c>
      <c r="BO33" s="3">
        <v>16.23</v>
      </c>
      <c r="BP33" s="3">
        <v>2.2000000000000002</v>
      </c>
      <c r="BQ33" s="3" t="s">
        <v>68</v>
      </c>
      <c r="BR33" s="3">
        <v>4.3499999999999996</v>
      </c>
    </row>
    <row r="34" spans="1:70" ht="14.25" customHeight="1">
      <c r="A34" s="2">
        <v>32</v>
      </c>
      <c r="B34" s="2">
        <f t="shared" si="0"/>
        <v>1428.9544609665427</v>
      </c>
      <c r="C34" s="3">
        <v>20718.84</v>
      </c>
      <c r="D34" s="3">
        <v>184.24</v>
      </c>
      <c r="E34" s="3" t="s">
        <v>68</v>
      </c>
      <c r="F34" s="3">
        <v>378.59</v>
      </c>
      <c r="G34" s="3">
        <v>1914.72</v>
      </c>
      <c r="H34" s="3">
        <v>162.84</v>
      </c>
      <c r="I34" s="3">
        <v>2907.71</v>
      </c>
      <c r="J34" s="3">
        <v>111.99</v>
      </c>
      <c r="K34" s="3">
        <v>26.79</v>
      </c>
      <c r="L34" s="3">
        <v>12.93</v>
      </c>
      <c r="M34" s="3">
        <v>4939.68</v>
      </c>
      <c r="N34" s="3">
        <v>56.43</v>
      </c>
      <c r="O34" s="3">
        <v>136.77000000000001</v>
      </c>
      <c r="P34" s="3">
        <v>14.53</v>
      </c>
      <c r="Q34" s="3">
        <v>52.8</v>
      </c>
      <c r="R34" s="3">
        <v>7.45</v>
      </c>
      <c r="S34" s="3">
        <v>100.12</v>
      </c>
      <c r="T34" s="3">
        <v>24.48</v>
      </c>
      <c r="U34" s="3">
        <v>18928.55</v>
      </c>
      <c r="V34" s="3">
        <v>123.2</v>
      </c>
      <c r="W34" s="3" t="s">
        <v>68</v>
      </c>
      <c r="X34" s="3">
        <v>67.19</v>
      </c>
      <c r="Y34" s="3">
        <v>41.03</v>
      </c>
      <c r="Z34" s="3">
        <v>12.41</v>
      </c>
      <c r="AA34" s="3">
        <v>22.21</v>
      </c>
      <c r="AB34" s="3">
        <v>7.47</v>
      </c>
      <c r="AC34" s="3">
        <v>314.17</v>
      </c>
      <c r="AD34" s="3">
        <v>9.25</v>
      </c>
      <c r="AE34" s="3">
        <v>20.51</v>
      </c>
      <c r="AF34" s="3">
        <v>4.21</v>
      </c>
      <c r="AG34" s="3" t="s">
        <v>68</v>
      </c>
      <c r="AH34" s="3">
        <v>2.23</v>
      </c>
      <c r="AI34" s="3">
        <v>151.35</v>
      </c>
      <c r="AJ34" s="3">
        <v>2.84</v>
      </c>
      <c r="AK34" s="3">
        <v>111.95</v>
      </c>
      <c r="AL34" s="3">
        <v>2.19</v>
      </c>
      <c r="AM34" s="3">
        <v>278.27999999999997</v>
      </c>
      <c r="AN34" s="3">
        <v>3.32</v>
      </c>
      <c r="AO34" s="3">
        <v>4.93</v>
      </c>
      <c r="AP34" s="3">
        <v>1.66</v>
      </c>
      <c r="AQ34" s="3" t="s">
        <v>68</v>
      </c>
      <c r="AR34" s="3">
        <v>4.37</v>
      </c>
      <c r="AS34" s="3" t="s">
        <v>68</v>
      </c>
      <c r="AT34" s="3">
        <v>4.1900000000000004</v>
      </c>
      <c r="AU34" s="3" t="s">
        <v>68</v>
      </c>
      <c r="AV34" s="3">
        <v>6.01</v>
      </c>
      <c r="AW34" s="3" t="s">
        <v>68</v>
      </c>
      <c r="AX34" s="3">
        <v>4.54</v>
      </c>
      <c r="AY34" s="3" t="s">
        <v>68</v>
      </c>
      <c r="AZ34" s="3">
        <v>6.94</v>
      </c>
      <c r="BA34" s="3">
        <v>21</v>
      </c>
      <c r="BB34" s="3">
        <v>9.41</v>
      </c>
      <c r="BC34" s="3">
        <v>13.42</v>
      </c>
      <c r="BD34" s="3">
        <v>3.08</v>
      </c>
      <c r="BE34" s="3">
        <v>236.72</v>
      </c>
      <c r="BF34" s="3">
        <v>14.72</v>
      </c>
      <c r="BG34" s="3" t="s">
        <v>68</v>
      </c>
      <c r="BH34" s="3">
        <v>22.47</v>
      </c>
      <c r="BI34" s="3">
        <v>4.71</v>
      </c>
      <c r="BJ34" s="3">
        <v>2.3199999999999998</v>
      </c>
      <c r="BK34" s="3" t="s">
        <v>68</v>
      </c>
      <c r="BL34" s="3">
        <v>5.04</v>
      </c>
      <c r="BM34" s="3">
        <v>120.34</v>
      </c>
      <c r="BN34" s="3">
        <v>5.0599999999999996</v>
      </c>
      <c r="BO34" s="3">
        <v>17.32</v>
      </c>
      <c r="BP34" s="3">
        <v>2.2599999999999998</v>
      </c>
      <c r="BQ34" s="3" t="s">
        <v>68</v>
      </c>
      <c r="BR34" s="3">
        <v>4.6399999999999997</v>
      </c>
    </row>
    <row r="35" spans="1:70" ht="14.25" customHeight="1">
      <c r="A35" s="2">
        <v>33</v>
      </c>
      <c r="B35" s="2">
        <f t="shared" si="0"/>
        <v>1410.3671003717473</v>
      </c>
      <c r="C35" s="3">
        <v>21129.57</v>
      </c>
      <c r="D35" s="3">
        <v>183.01</v>
      </c>
      <c r="E35" s="3" t="s">
        <v>68</v>
      </c>
      <c r="F35" s="3">
        <v>376.71</v>
      </c>
      <c r="G35" s="3">
        <v>1891.45</v>
      </c>
      <c r="H35" s="3">
        <v>159.74</v>
      </c>
      <c r="I35" s="3">
        <v>2739.6</v>
      </c>
      <c r="J35" s="3">
        <v>112.97</v>
      </c>
      <c r="K35" s="3">
        <v>38.57</v>
      </c>
      <c r="L35" s="3">
        <v>13.01</v>
      </c>
      <c r="M35" s="3">
        <v>4596.43</v>
      </c>
      <c r="N35" s="3">
        <v>54.02</v>
      </c>
      <c r="O35" s="3">
        <v>127.81</v>
      </c>
      <c r="P35" s="3">
        <v>13.98</v>
      </c>
      <c r="Q35" s="3">
        <v>58.55</v>
      </c>
      <c r="R35" s="3">
        <v>7.41</v>
      </c>
      <c r="S35" s="3">
        <v>58.42</v>
      </c>
      <c r="T35" s="3">
        <v>23.46</v>
      </c>
      <c r="U35" s="3">
        <v>18020.310000000001</v>
      </c>
      <c r="V35" s="3">
        <v>119.91</v>
      </c>
      <c r="W35" s="3" t="s">
        <v>68</v>
      </c>
      <c r="X35" s="3">
        <v>65.36</v>
      </c>
      <c r="Y35" s="3">
        <v>44.32</v>
      </c>
      <c r="Z35" s="3">
        <v>12.39</v>
      </c>
      <c r="AA35" s="3">
        <v>16.079999999999998</v>
      </c>
      <c r="AB35" s="3">
        <v>7.31</v>
      </c>
      <c r="AC35" s="3">
        <v>257.64999999999998</v>
      </c>
      <c r="AD35" s="3">
        <v>8.48</v>
      </c>
      <c r="AE35" s="3">
        <v>16.579999999999998</v>
      </c>
      <c r="AF35" s="3">
        <v>4.05</v>
      </c>
      <c r="AG35" s="3" t="s">
        <v>68</v>
      </c>
      <c r="AH35" s="3">
        <v>2.16</v>
      </c>
      <c r="AI35" s="3">
        <v>134.65</v>
      </c>
      <c r="AJ35" s="3">
        <v>2.69</v>
      </c>
      <c r="AK35" s="3">
        <v>103.06</v>
      </c>
      <c r="AL35" s="3">
        <v>2.1</v>
      </c>
      <c r="AM35" s="3">
        <v>272.58999999999997</v>
      </c>
      <c r="AN35" s="3">
        <v>3.27</v>
      </c>
      <c r="AO35" s="3">
        <v>4.49</v>
      </c>
      <c r="AP35" s="3">
        <v>1.64</v>
      </c>
      <c r="AQ35" s="3" t="s">
        <v>68</v>
      </c>
      <c r="AR35" s="3">
        <v>4.5199999999999996</v>
      </c>
      <c r="AS35" s="3" t="s">
        <v>68</v>
      </c>
      <c r="AT35" s="3">
        <v>4.1900000000000004</v>
      </c>
      <c r="AU35" s="3" t="s">
        <v>68</v>
      </c>
      <c r="AV35" s="3">
        <v>6.06</v>
      </c>
      <c r="AW35" s="3" t="s">
        <v>68</v>
      </c>
      <c r="AX35" s="3">
        <v>4.49</v>
      </c>
      <c r="AY35" s="3" t="s">
        <v>68</v>
      </c>
      <c r="AZ35" s="3">
        <v>6.84</v>
      </c>
      <c r="BA35" s="3" t="s">
        <v>68</v>
      </c>
      <c r="BB35" s="3">
        <v>13.79</v>
      </c>
      <c r="BC35" s="3">
        <v>10.14</v>
      </c>
      <c r="BD35" s="3">
        <v>3.05</v>
      </c>
      <c r="BE35" s="3">
        <v>200.82</v>
      </c>
      <c r="BF35" s="3">
        <v>14.44</v>
      </c>
      <c r="BG35" s="3" t="s">
        <v>68</v>
      </c>
      <c r="BH35" s="3">
        <v>22.53</v>
      </c>
      <c r="BI35" s="3">
        <v>4.9000000000000004</v>
      </c>
      <c r="BJ35" s="3">
        <v>2.29</v>
      </c>
      <c r="BK35" s="3" t="s">
        <v>68</v>
      </c>
      <c r="BL35" s="3">
        <v>4.9800000000000004</v>
      </c>
      <c r="BM35" s="3">
        <v>113.16</v>
      </c>
      <c r="BN35" s="3">
        <v>4.9000000000000004</v>
      </c>
      <c r="BO35" s="3">
        <v>16.37</v>
      </c>
      <c r="BP35" s="3">
        <v>2.21</v>
      </c>
      <c r="BQ35" s="3" t="s">
        <v>68</v>
      </c>
      <c r="BR35" s="3">
        <v>4.51</v>
      </c>
    </row>
    <row r="36" spans="1:70" ht="14.25" customHeight="1">
      <c r="A36" s="2">
        <v>34</v>
      </c>
      <c r="B36" s="2">
        <f t="shared" si="0"/>
        <v>1391.7797397769518</v>
      </c>
      <c r="C36" s="3">
        <v>20265.25</v>
      </c>
      <c r="D36" s="3">
        <v>182.04</v>
      </c>
      <c r="E36" s="3">
        <v>486.04</v>
      </c>
      <c r="F36" s="3">
        <v>264.49</v>
      </c>
      <c r="G36" s="3">
        <v>2201.8000000000002</v>
      </c>
      <c r="H36" s="3">
        <v>170.67</v>
      </c>
      <c r="I36" s="3">
        <v>3941.77</v>
      </c>
      <c r="J36" s="3">
        <v>117.15</v>
      </c>
      <c r="K36" s="3">
        <v>44.69</v>
      </c>
      <c r="L36" s="3">
        <v>14.55</v>
      </c>
      <c r="M36" s="3">
        <v>4853.8500000000004</v>
      </c>
      <c r="N36" s="3">
        <v>56</v>
      </c>
      <c r="O36" s="3">
        <v>139.63</v>
      </c>
      <c r="P36" s="3">
        <v>14.47</v>
      </c>
      <c r="Q36" s="3">
        <v>51.31</v>
      </c>
      <c r="R36" s="3">
        <v>7.43</v>
      </c>
      <c r="S36" s="3">
        <v>97.89</v>
      </c>
      <c r="T36" s="3">
        <v>24.12</v>
      </c>
      <c r="U36" s="3">
        <v>17732.189999999999</v>
      </c>
      <c r="V36" s="3">
        <v>118.31</v>
      </c>
      <c r="W36" s="3" t="s">
        <v>68</v>
      </c>
      <c r="X36" s="3">
        <v>64.64</v>
      </c>
      <c r="Y36" s="3">
        <v>41.68</v>
      </c>
      <c r="Z36" s="3">
        <v>12.26</v>
      </c>
      <c r="AA36" s="3">
        <v>19.66</v>
      </c>
      <c r="AB36" s="3">
        <v>7.33</v>
      </c>
      <c r="AC36" s="3">
        <v>341.13</v>
      </c>
      <c r="AD36" s="3">
        <v>9.5</v>
      </c>
      <c r="AE36" s="3">
        <v>20.28</v>
      </c>
      <c r="AF36" s="3">
        <v>4.21</v>
      </c>
      <c r="AG36" s="3" t="s">
        <v>68</v>
      </c>
      <c r="AH36" s="3">
        <v>2.17</v>
      </c>
      <c r="AI36" s="3">
        <v>136.27000000000001</v>
      </c>
      <c r="AJ36" s="3">
        <v>2.69</v>
      </c>
      <c r="AK36" s="3">
        <v>104.64</v>
      </c>
      <c r="AL36" s="3">
        <v>2.1</v>
      </c>
      <c r="AM36" s="3">
        <v>251.72</v>
      </c>
      <c r="AN36" s="3">
        <v>3.15</v>
      </c>
      <c r="AO36" s="3">
        <v>4.43</v>
      </c>
      <c r="AP36" s="3">
        <v>1.62</v>
      </c>
      <c r="AQ36" s="3" t="s">
        <v>68</v>
      </c>
      <c r="AR36" s="3">
        <v>4.5199999999999996</v>
      </c>
      <c r="AS36" s="3">
        <v>4.79</v>
      </c>
      <c r="AT36" s="3">
        <v>2.85</v>
      </c>
      <c r="AU36" s="3" t="s">
        <v>68</v>
      </c>
      <c r="AV36" s="3">
        <v>6.1</v>
      </c>
      <c r="AW36" s="3">
        <v>5.61</v>
      </c>
      <c r="AX36" s="3">
        <v>3.04</v>
      </c>
      <c r="AY36" s="3">
        <v>7.7</v>
      </c>
      <c r="AZ36" s="3">
        <v>4.66</v>
      </c>
      <c r="BA36" s="3">
        <v>21.61</v>
      </c>
      <c r="BB36" s="3">
        <v>9.4</v>
      </c>
      <c r="BC36" s="3">
        <v>14.55</v>
      </c>
      <c r="BD36" s="3">
        <v>3.08</v>
      </c>
      <c r="BE36" s="3">
        <v>230.53</v>
      </c>
      <c r="BF36" s="3">
        <v>14.67</v>
      </c>
      <c r="BG36" s="3" t="s">
        <v>68</v>
      </c>
      <c r="BH36" s="3">
        <v>22.57</v>
      </c>
      <c r="BI36" s="3">
        <v>3.75</v>
      </c>
      <c r="BJ36" s="3">
        <v>2.25</v>
      </c>
      <c r="BK36" s="3" t="s">
        <v>68</v>
      </c>
      <c r="BL36" s="3">
        <v>4.97</v>
      </c>
      <c r="BM36" s="3">
        <v>123.47</v>
      </c>
      <c r="BN36" s="3">
        <v>5.0599999999999996</v>
      </c>
      <c r="BO36" s="3">
        <v>18.420000000000002</v>
      </c>
      <c r="BP36" s="3">
        <v>2.2599999999999998</v>
      </c>
      <c r="BQ36" s="3" t="s">
        <v>68</v>
      </c>
      <c r="BR36" s="3">
        <v>4.47</v>
      </c>
    </row>
    <row r="37" spans="1:70" ht="14.25" customHeight="1">
      <c r="A37" s="2">
        <v>35</v>
      </c>
      <c r="B37" s="2">
        <f t="shared" si="0"/>
        <v>1373.1923791821562</v>
      </c>
      <c r="C37" s="3">
        <v>19115.84</v>
      </c>
      <c r="D37" s="3">
        <v>165.83</v>
      </c>
      <c r="E37" s="3" t="s">
        <v>68</v>
      </c>
      <c r="F37" s="3">
        <v>332.97</v>
      </c>
      <c r="G37" s="3">
        <v>2832.51</v>
      </c>
      <c r="H37" s="3">
        <v>173.86</v>
      </c>
      <c r="I37" s="3">
        <v>5032.53</v>
      </c>
      <c r="J37" s="3">
        <v>114.83</v>
      </c>
      <c r="K37" s="3">
        <v>35.53</v>
      </c>
      <c r="L37" s="3">
        <v>14.69</v>
      </c>
      <c r="M37" s="3">
        <v>4642.1400000000003</v>
      </c>
      <c r="N37" s="3">
        <v>51.18</v>
      </c>
      <c r="O37" s="3">
        <v>132.5</v>
      </c>
      <c r="P37" s="3">
        <v>13.22</v>
      </c>
      <c r="Q37" s="3">
        <v>36.31</v>
      </c>
      <c r="R37" s="3">
        <v>6.77</v>
      </c>
      <c r="S37" s="3">
        <v>71.47</v>
      </c>
      <c r="T37" s="3">
        <v>22.61</v>
      </c>
      <c r="U37" s="3">
        <v>13283.18</v>
      </c>
      <c r="V37" s="3">
        <v>100.57</v>
      </c>
      <c r="W37" s="3" t="s">
        <v>68</v>
      </c>
      <c r="X37" s="3">
        <v>55.28</v>
      </c>
      <c r="Y37" s="3">
        <v>32.47</v>
      </c>
      <c r="Z37" s="3">
        <v>11.76</v>
      </c>
      <c r="AA37" s="3">
        <v>13.84</v>
      </c>
      <c r="AB37" s="3">
        <v>6.99</v>
      </c>
      <c r="AC37" s="3">
        <v>491.8</v>
      </c>
      <c r="AD37" s="3">
        <v>10.94</v>
      </c>
      <c r="AE37" s="3">
        <v>20.68</v>
      </c>
      <c r="AF37" s="3">
        <v>3.71</v>
      </c>
      <c r="AG37" s="3" t="s">
        <v>68</v>
      </c>
      <c r="AH37" s="3">
        <v>2.08</v>
      </c>
      <c r="AI37" s="3">
        <v>118.26</v>
      </c>
      <c r="AJ37" s="3">
        <v>2.46</v>
      </c>
      <c r="AK37" s="3">
        <v>93.94</v>
      </c>
      <c r="AL37" s="3">
        <v>1.96</v>
      </c>
      <c r="AM37" s="3">
        <v>249.29</v>
      </c>
      <c r="AN37" s="3">
        <v>3.06</v>
      </c>
      <c r="AO37" s="3">
        <v>3.79</v>
      </c>
      <c r="AP37" s="3">
        <v>1.57</v>
      </c>
      <c r="AQ37" s="3" t="s">
        <v>68</v>
      </c>
      <c r="AR37" s="3">
        <v>4.3600000000000003</v>
      </c>
      <c r="AS37" s="3" t="s">
        <v>68</v>
      </c>
      <c r="AT37" s="3">
        <v>4.1100000000000003</v>
      </c>
      <c r="AU37" s="3" t="s">
        <v>68</v>
      </c>
      <c r="AV37" s="3">
        <v>5.93</v>
      </c>
      <c r="AW37" s="3">
        <v>5.62</v>
      </c>
      <c r="AX37" s="3">
        <v>2.96</v>
      </c>
      <c r="AY37" s="3" t="s">
        <v>68</v>
      </c>
      <c r="AZ37" s="3">
        <v>6.71</v>
      </c>
      <c r="BA37" s="3" t="s">
        <v>68</v>
      </c>
      <c r="BB37" s="3">
        <v>13.58</v>
      </c>
      <c r="BC37" s="3">
        <v>6.46</v>
      </c>
      <c r="BD37" s="3">
        <v>2.97</v>
      </c>
      <c r="BE37" s="3">
        <v>164.41</v>
      </c>
      <c r="BF37" s="3">
        <v>13.97</v>
      </c>
      <c r="BG37" s="3" t="s">
        <v>68</v>
      </c>
      <c r="BH37" s="3">
        <v>21.53</v>
      </c>
      <c r="BI37" s="3" t="s">
        <v>68</v>
      </c>
      <c r="BJ37" s="3">
        <v>3.14</v>
      </c>
      <c r="BK37" s="3">
        <v>5.64</v>
      </c>
      <c r="BL37" s="3">
        <v>3.23</v>
      </c>
      <c r="BM37" s="3">
        <v>92.28</v>
      </c>
      <c r="BN37" s="3">
        <v>4.37</v>
      </c>
      <c r="BO37" s="3">
        <v>13.17</v>
      </c>
      <c r="BP37" s="3">
        <v>2</v>
      </c>
      <c r="BQ37" s="3" t="s">
        <v>68</v>
      </c>
      <c r="BR37" s="3">
        <v>4.1500000000000004</v>
      </c>
    </row>
    <row r="38" spans="1:70" ht="14.25" customHeight="1">
      <c r="A38" s="2">
        <v>36</v>
      </c>
      <c r="B38" s="2">
        <f t="shared" si="0"/>
        <v>1354.6050185873605</v>
      </c>
      <c r="C38" s="3">
        <v>19420.43</v>
      </c>
      <c r="D38" s="3">
        <v>173.64</v>
      </c>
      <c r="E38" s="3" t="s">
        <v>68</v>
      </c>
      <c r="F38" s="3">
        <v>333.49</v>
      </c>
      <c r="G38" s="3">
        <v>4663.62</v>
      </c>
      <c r="H38" s="3">
        <v>220.45</v>
      </c>
      <c r="I38" s="3">
        <v>3762.1</v>
      </c>
      <c r="J38" s="3">
        <v>111.24</v>
      </c>
      <c r="K38" s="3">
        <v>32.97</v>
      </c>
      <c r="L38" s="3">
        <v>13.52</v>
      </c>
      <c r="M38" s="3">
        <v>4606.67</v>
      </c>
      <c r="N38" s="3">
        <v>52.95</v>
      </c>
      <c r="O38" s="3">
        <v>131.29</v>
      </c>
      <c r="P38" s="3">
        <v>13.67</v>
      </c>
      <c r="Q38" s="3">
        <v>41.12</v>
      </c>
      <c r="R38" s="3">
        <v>7.06</v>
      </c>
      <c r="S38" s="3">
        <v>69.19</v>
      </c>
      <c r="T38" s="3">
        <v>23.25</v>
      </c>
      <c r="U38" s="3">
        <v>15182.04</v>
      </c>
      <c r="V38" s="3">
        <v>109.05</v>
      </c>
      <c r="W38" s="3" t="s">
        <v>68</v>
      </c>
      <c r="X38" s="3">
        <v>59.88</v>
      </c>
      <c r="Y38" s="3">
        <v>31.54</v>
      </c>
      <c r="Z38" s="3">
        <v>12.05</v>
      </c>
      <c r="AA38" s="3">
        <v>31.9</v>
      </c>
      <c r="AB38" s="3">
        <v>7.54</v>
      </c>
      <c r="AC38" s="3">
        <v>706.97</v>
      </c>
      <c r="AD38" s="3">
        <v>13.14</v>
      </c>
      <c r="AE38" s="3">
        <v>32.32</v>
      </c>
      <c r="AF38" s="3">
        <v>4.1900000000000004</v>
      </c>
      <c r="AG38" s="3" t="s">
        <v>68</v>
      </c>
      <c r="AH38" s="3">
        <v>2.16</v>
      </c>
      <c r="AI38" s="3">
        <v>134.58000000000001</v>
      </c>
      <c r="AJ38" s="3">
        <v>2.66</v>
      </c>
      <c r="AK38" s="3">
        <v>103.88</v>
      </c>
      <c r="AL38" s="3">
        <v>2.09</v>
      </c>
      <c r="AM38" s="3">
        <v>269.23</v>
      </c>
      <c r="AN38" s="3">
        <v>3.22</v>
      </c>
      <c r="AO38" s="3">
        <v>4.67</v>
      </c>
      <c r="AP38" s="3">
        <v>1.62</v>
      </c>
      <c r="AQ38" s="3">
        <v>4.66</v>
      </c>
      <c r="AR38" s="3">
        <v>3.06</v>
      </c>
      <c r="AS38" s="3" t="s">
        <v>68</v>
      </c>
      <c r="AT38" s="3">
        <v>4.2</v>
      </c>
      <c r="AU38" s="3" t="s">
        <v>68</v>
      </c>
      <c r="AV38" s="3">
        <v>6.09</v>
      </c>
      <c r="AW38" s="3">
        <v>5.48</v>
      </c>
      <c r="AX38" s="3">
        <v>3.02</v>
      </c>
      <c r="AY38" s="3" t="s">
        <v>68</v>
      </c>
      <c r="AZ38" s="3">
        <v>6.88</v>
      </c>
      <c r="BA38" s="3" t="s">
        <v>68</v>
      </c>
      <c r="BB38" s="3">
        <v>13.94</v>
      </c>
      <c r="BC38" s="3">
        <v>14.95</v>
      </c>
      <c r="BD38" s="3">
        <v>3.06</v>
      </c>
      <c r="BE38" s="3">
        <v>214.1</v>
      </c>
      <c r="BF38" s="3">
        <v>14.51</v>
      </c>
      <c r="BG38" s="3" t="s">
        <v>68</v>
      </c>
      <c r="BH38" s="3">
        <v>22.39</v>
      </c>
      <c r="BI38" s="3" t="s">
        <v>68</v>
      </c>
      <c r="BJ38" s="3">
        <v>3.34</v>
      </c>
      <c r="BK38" s="3">
        <v>5.25</v>
      </c>
      <c r="BL38" s="3">
        <v>3.33</v>
      </c>
      <c r="BM38" s="3">
        <v>112.12</v>
      </c>
      <c r="BN38" s="3">
        <v>4.83</v>
      </c>
      <c r="BO38" s="3">
        <v>15.45</v>
      </c>
      <c r="BP38" s="3">
        <v>2.15</v>
      </c>
      <c r="BQ38" s="3" t="s">
        <v>68</v>
      </c>
      <c r="BR38" s="3">
        <v>4.43</v>
      </c>
    </row>
    <row r="39" spans="1:70" ht="14.25" customHeight="1">
      <c r="A39" s="2">
        <v>37</v>
      </c>
      <c r="B39" s="2">
        <f t="shared" si="0"/>
        <v>1336.0176579925651</v>
      </c>
      <c r="C39" s="3">
        <v>20605.71</v>
      </c>
      <c r="D39" s="3">
        <v>178.84</v>
      </c>
      <c r="E39" s="3" t="s">
        <v>68</v>
      </c>
      <c r="F39" s="3">
        <v>361.73</v>
      </c>
      <c r="G39" s="3">
        <v>5265.22</v>
      </c>
      <c r="H39" s="3">
        <v>232.82</v>
      </c>
      <c r="I39" s="3">
        <v>3602.47</v>
      </c>
      <c r="J39" s="3">
        <v>114.44</v>
      </c>
      <c r="K39" s="3">
        <v>23.41</v>
      </c>
      <c r="L39" s="3">
        <v>13.55</v>
      </c>
      <c r="M39" s="3">
        <v>4730.51</v>
      </c>
      <c r="N39" s="3">
        <v>54.01</v>
      </c>
      <c r="O39" s="3">
        <v>138.72999999999999</v>
      </c>
      <c r="P39" s="3">
        <v>14.01</v>
      </c>
      <c r="Q39" s="3">
        <v>50.53</v>
      </c>
      <c r="R39" s="3">
        <v>7.26</v>
      </c>
      <c r="S39" s="3">
        <v>73</v>
      </c>
      <c r="T39" s="3">
        <v>23.28</v>
      </c>
      <c r="U39" s="3">
        <v>14870.09</v>
      </c>
      <c r="V39" s="3">
        <v>107.97</v>
      </c>
      <c r="W39" s="3" t="s">
        <v>68</v>
      </c>
      <c r="X39" s="3">
        <v>58.86</v>
      </c>
      <c r="Y39" s="3">
        <v>48.86</v>
      </c>
      <c r="Z39" s="3">
        <v>12.21</v>
      </c>
      <c r="AA39" s="3">
        <v>18.13</v>
      </c>
      <c r="AB39" s="3">
        <v>7.25</v>
      </c>
      <c r="AC39" s="3">
        <v>610.49</v>
      </c>
      <c r="AD39" s="3">
        <v>12.28</v>
      </c>
      <c r="AE39" s="3">
        <v>34.25</v>
      </c>
      <c r="AF39" s="3">
        <v>4.1399999999999997</v>
      </c>
      <c r="AG39" s="3" t="s">
        <v>68</v>
      </c>
      <c r="AH39" s="3">
        <v>2.2200000000000002</v>
      </c>
      <c r="AI39" s="3">
        <v>124.64</v>
      </c>
      <c r="AJ39" s="3">
        <v>2.57</v>
      </c>
      <c r="AK39" s="3">
        <v>102.75</v>
      </c>
      <c r="AL39" s="3">
        <v>2.08</v>
      </c>
      <c r="AM39" s="3">
        <v>264.86</v>
      </c>
      <c r="AN39" s="3">
        <v>3.2</v>
      </c>
      <c r="AO39" s="3">
        <v>5.37</v>
      </c>
      <c r="AP39" s="3">
        <v>1.62</v>
      </c>
      <c r="AQ39" s="3" t="s">
        <v>68</v>
      </c>
      <c r="AR39" s="3">
        <v>4.3099999999999996</v>
      </c>
      <c r="AS39" s="3" t="s">
        <v>68</v>
      </c>
      <c r="AT39" s="3">
        <v>4.0599999999999996</v>
      </c>
      <c r="AU39" s="3" t="s">
        <v>68</v>
      </c>
      <c r="AV39" s="3">
        <v>5.88</v>
      </c>
      <c r="AW39" s="3" t="s">
        <v>68</v>
      </c>
      <c r="AX39" s="3">
        <v>4.3600000000000003</v>
      </c>
      <c r="AY39" s="3" t="s">
        <v>68</v>
      </c>
      <c r="AZ39" s="3">
        <v>6.68</v>
      </c>
      <c r="BA39" s="3" t="s">
        <v>68</v>
      </c>
      <c r="BB39" s="3">
        <v>13.53</v>
      </c>
      <c r="BC39" s="3">
        <v>10.039999999999999</v>
      </c>
      <c r="BD39" s="3">
        <v>2.97</v>
      </c>
      <c r="BE39" s="3">
        <v>195.3</v>
      </c>
      <c r="BF39" s="3">
        <v>14.07</v>
      </c>
      <c r="BG39" s="3" t="s">
        <v>68</v>
      </c>
      <c r="BH39" s="3">
        <v>22.73</v>
      </c>
      <c r="BI39" s="3">
        <v>4.74</v>
      </c>
      <c r="BJ39" s="3">
        <v>2.2999999999999998</v>
      </c>
      <c r="BK39" s="3" t="s">
        <v>68</v>
      </c>
      <c r="BL39" s="3">
        <v>5.07</v>
      </c>
      <c r="BM39" s="3">
        <v>106.46</v>
      </c>
      <c r="BN39" s="3">
        <v>4.7300000000000004</v>
      </c>
      <c r="BO39" s="3">
        <v>14.78</v>
      </c>
      <c r="BP39" s="3">
        <v>2.11</v>
      </c>
      <c r="BQ39" s="3" t="s">
        <v>68</v>
      </c>
      <c r="BR39" s="3">
        <v>4.34</v>
      </c>
    </row>
    <row r="40" spans="1:70" ht="14.25" customHeight="1">
      <c r="A40" s="2">
        <v>38</v>
      </c>
      <c r="B40" s="2">
        <f t="shared" si="0"/>
        <v>1317.4302973977697</v>
      </c>
      <c r="C40" s="3">
        <v>20694.09</v>
      </c>
      <c r="D40" s="3">
        <v>182.32</v>
      </c>
      <c r="E40" s="3">
        <v>408.45</v>
      </c>
      <c r="F40" s="3">
        <v>261.02999999999997</v>
      </c>
      <c r="G40" s="3">
        <v>7818.08</v>
      </c>
      <c r="H40" s="3">
        <v>281.77999999999997</v>
      </c>
      <c r="I40" s="3">
        <v>3747.62</v>
      </c>
      <c r="J40" s="3">
        <v>113.06</v>
      </c>
      <c r="K40" s="3">
        <v>36.61</v>
      </c>
      <c r="L40" s="3">
        <v>13.84</v>
      </c>
      <c r="M40" s="3">
        <v>5004.1499999999996</v>
      </c>
      <c r="N40" s="3">
        <v>56.18</v>
      </c>
      <c r="O40" s="3">
        <v>138.94</v>
      </c>
      <c r="P40" s="3">
        <v>14.45</v>
      </c>
      <c r="Q40" s="3">
        <v>60.06</v>
      </c>
      <c r="R40" s="3">
        <v>7.42</v>
      </c>
      <c r="S40" s="3">
        <v>79.14</v>
      </c>
      <c r="T40" s="3">
        <v>23.94</v>
      </c>
      <c r="U40" s="3">
        <v>17561.759999999998</v>
      </c>
      <c r="V40" s="3">
        <v>118.81</v>
      </c>
      <c r="W40" s="3" t="s">
        <v>68</v>
      </c>
      <c r="X40" s="3">
        <v>64.7</v>
      </c>
      <c r="Y40" s="3">
        <v>46.42</v>
      </c>
      <c r="Z40" s="3">
        <v>12.46</v>
      </c>
      <c r="AA40" s="3">
        <v>21.11</v>
      </c>
      <c r="AB40" s="3">
        <v>7.45</v>
      </c>
      <c r="AC40" s="3">
        <v>665.72</v>
      </c>
      <c r="AD40" s="3">
        <v>12.96</v>
      </c>
      <c r="AE40" s="3">
        <v>29.04</v>
      </c>
      <c r="AF40" s="3">
        <v>4.34</v>
      </c>
      <c r="AG40" s="3" t="s">
        <v>68</v>
      </c>
      <c r="AH40" s="3">
        <v>2.2000000000000002</v>
      </c>
      <c r="AI40" s="3">
        <v>137.37</v>
      </c>
      <c r="AJ40" s="3">
        <v>2.73</v>
      </c>
      <c r="AK40" s="3">
        <v>117.61</v>
      </c>
      <c r="AL40" s="3">
        <v>2.2400000000000002</v>
      </c>
      <c r="AM40" s="3">
        <v>274.33999999999997</v>
      </c>
      <c r="AN40" s="3">
        <v>3.31</v>
      </c>
      <c r="AO40" s="3">
        <v>5.09</v>
      </c>
      <c r="AP40" s="3">
        <v>1.66</v>
      </c>
      <c r="AQ40" s="3" t="s">
        <v>68</v>
      </c>
      <c r="AR40" s="3">
        <v>4.49</v>
      </c>
      <c r="AS40" s="3" t="s">
        <v>68</v>
      </c>
      <c r="AT40" s="3">
        <v>4.2</v>
      </c>
      <c r="AU40" s="3" t="s">
        <v>68</v>
      </c>
      <c r="AV40" s="3">
        <v>6.08</v>
      </c>
      <c r="AW40" s="3" t="s">
        <v>68</v>
      </c>
      <c r="AX40" s="3">
        <v>4.5</v>
      </c>
      <c r="AY40" s="3" t="s">
        <v>68</v>
      </c>
      <c r="AZ40" s="3">
        <v>6.87</v>
      </c>
      <c r="BA40" s="3" t="s">
        <v>68</v>
      </c>
      <c r="BB40" s="3">
        <v>13.87</v>
      </c>
      <c r="BC40" s="3">
        <v>13.07</v>
      </c>
      <c r="BD40" s="3">
        <v>3.05</v>
      </c>
      <c r="BE40" s="3">
        <v>213.82</v>
      </c>
      <c r="BF40" s="3">
        <v>14.49</v>
      </c>
      <c r="BG40" s="3" t="s">
        <v>68</v>
      </c>
      <c r="BH40" s="3">
        <v>22.73</v>
      </c>
      <c r="BI40" s="3">
        <v>5.37</v>
      </c>
      <c r="BJ40" s="3">
        <v>2.33</v>
      </c>
      <c r="BK40" s="3" t="s">
        <v>68</v>
      </c>
      <c r="BL40" s="3">
        <v>4.93</v>
      </c>
      <c r="BM40" s="3">
        <v>122.09</v>
      </c>
      <c r="BN40" s="3">
        <v>5.08</v>
      </c>
      <c r="BO40" s="3">
        <v>14.9</v>
      </c>
      <c r="BP40" s="3">
        <v>2.2000000000000002</v>
      </c>
      <c r="BQ40" s="3" t="s">
        <v>68</v>
      </c>
      <c r="BR40" s="3">
        <v>4.6100000000000003</v>
      </c>
    </row>
    <row r="41" spans="1:70" ht="14.25" customHeight="1">
      <c r="A41" s="2">
        <v>39</v>
      </c>
      <c r="B41" s="2">
        <f t="shared" si="0"/>
        <v>1298.842936802974</v>
      </c>
      <c r="C41" s="3">
        <v>19783.75</v>
      </c>
      <c r="D41" s="3">
        <v>176.75</v>
      </c>
      <c r="E41" s="3" t="s">
        <v>68</v>
      </c>
      <c r="F41" s="3">
        <v>350.11</v>
      </c>
      <c r="G41" s="3">
        <v>7504.37</v>
      </c>
      <c r="H41" s="3">
        <v>273.95999999999998</v>
      </c>
      <c r="I41" s="3">
        <v>4066.19</v>
      </c>
      <c r="J41" s="3">
        <v>114.77</v>
      </c>
      <c r="K41" s="3">
        <v>38.119999999999997</v>
      </c>
      <c r="L41" s="3">
        <v>14.21</v>
      </c>
      <c r="M41" s="3">
        <v>4734.43</v>
      </c>
      <c r="N41" s="3">
        <v>54.13</v>
      </c>
      <c r="O41" s="3">
        <v>146.08000000000001</v>
      </c>
      <c r="P41" s="3">
        <v>14.06</v>
      </c>
      <c r="Q41" s="3">
        <v>44.93</v>
      </c>
      <c r="R41" s="3">
        <v>7.23</v>
      </c>
      <c r="S41" s="3">
        <v>76.7</v>
      </c>
      <c r="T41" s="3">
        <v>23.36</v>
      </c>
      <c r="U41" s="3">
        <v>16717.57</v>
      </c>
      <c r="V41" s="3">
        <v>113.87</v>
      </c>
      <c r="W41" s="3" t="s">
        <v>68</v>
      </c>
      <c r="X41" s="3">
        <v>62.35</v>
      </c>
      <c r="Y41" s="3">
        <v>41.66</v>
      </c>
      <c r="Z41" s="3">
        <v>12.14</v>
      </c>
      <c r="AA41" s="3">
        <v>22.51</v>
      </c>
      <c r="AB41" s="3">
        <v>7.32</v>
      </c>
      <c r="AC41" s="3">
        <v>561.54</v>
      </c>
      <c r="AD41" s="3">
        <v>11.77</v>
      </c>
      <c r="AE41" s="3">
        <v>30.07</v>
      </c>
      <c r="AF41" s="3">
        <v>4.03</v>
      </c>
      <c r="AG41" s="3" t="s">
        <v>68</v>
      </c>
      <c r="AH41" s="3">
        <v>2.08</v>
      </c>
      <c r="AI41" s="3">
        <v>121.73</v>
      </c>
      <c r="AJ41" s="3">
        <v>2.54</v>
      </c>
      <c r="AK41" s="3">
        <v>102.77</v>
      </c>
      <c r="AL41" s="3">
        <v>2.0699999999999998</v>
      </c>
      <c r="AM41" s="3">
        <v>251.65</v>
      </c>
      <c r="AN41" s="3">
        <v>3.12</v>
      </c>
      <c r="AO41" s="3">
        <v>6.21</v>
      </c>
      <c r="AP41" s="3">
        <v>1.62</v>
      </c>
      <c r="AQ41" s="3" t="s">
        <v>68</v>
      </c>
      <c r="AR41" s="3">
        <v>4.47</v>
      </c>
      <c r="AS41" s="3" t="s">
        <v>68</v>
      </c>
      <c r="AT41" s="3">
        <v>4.17</v>
      </c>
      <c r="AU41" s="3" t="s">
        <v>68</v>
      </c>
      <c r="AV41" s="3">
        <v>6.08</v>
      </c>
      <c r="AW41" s="3" t="s">
        <v>68</v>
      </c>
      <c r="AX41" s="3">
        <v>4.46</v>
      </c>
      <c r="AY41" s="3" t="s">
        <v>68</v>
      </c>
      <c r="AZ41" s="3">
        <v>6.85</v>
      </c>
      <c r="BA41" s="3">
        <v>16.23</v>
      </c>
      <c r="BB41" s="3">
        <v>9.2899999999999991</v>
      </c>
      <c r="BC41" s="3">
        <v>13.93</v>
      </c>
      <c r="BD41" s="3">
        <v>3.05</v>
      </c>
      <c r="BE41" s="3">
        <v>213.48</v>
      </c>
      <c r="BF41" s="3">
        <v>14.48</v>
      </c>
      <c r="BG41" s="3" t="s">
        <v>68</v>
      </c>
      <c r="BH41" s="3">
        <v>22.27</v>
      </c>
      <c r="BI41" s="3" t="s">
        <v>68</v>
      </c>
      <c r="BJ41" s="3">
        <v>3.28</v>
      </c>
      <c r="BK41" s="3" t="s">
        <v>68</v>
      </c>
      <c r="BL41" s="3">
        <v>4.93</v>
      </c>
      <c r="BM41" s="3">
        <v>103.35</v>
      </c>
      <c r="BN41" s="3">
        <v>4.6399999999999997</v>
      </c>
      <c r="BO41" s="3">
        <v>14.58</v>
      </c>
      <c r="BP41" s="3">
        <v>2.1</v>
      </c>
      <c r="BQ41" s="3" t="s">
        <v>68</v>
      </c>
      <c r="BR41" s="3">
        <v>4.3899999999999997</v>
      </c>
    </row>
    <row r="42" spans="1:70" ht="14.25" customHeight="1">
      <c r="A42" s="2">
        <v>40</v>
      </c>
      <c r="B42" s="2">
        <f t="shared" si="0"/>
        <v>1280.2555762081784</v>
      </c>
      <c r="C42" s="3">
        <v>20516.21</v>
      </c>
      <c r="D42" s="3">
        <v>183.92</v>
      </c>
      <c r="E42" s="3" t="s">
        <v>68</v>
      </c>
      <c r="F42" s="3">
        <v>386.64</v>
      </c>
      <c r="G42" s="3">
        <v>9952.51</v>
      </c>
      <c r="H42" s="3">
        <v>318.61</v>
      </c>
      <c r="I42" s="3">
        <v>3934.65</v>
      </c>
      <c r="J42" s="3">
        <v>115.97</v>
      </c>
      <c r="K42" s="3">
        <v>43.61</v>
      </c>
      <c r="L42" s="3">
        <v>14.47</v>
      </c>
      <c r="M42" s="3">
        <v>4838.3900000000003</v>
      </c>
      <c r="N42" s="3">
        <v>56.31</v>
      </c>
      <c r="O42" s="3">
        <v>136.21</v>
      </c>
      <c r="P42" s="3">
        <v>14.53</v>
      </c>
      <c r="Q42" s="3">
        <v>56.97</v>
      </c>
      <c r="R42" s="3">
        <v>7.5</v>
      </c>
      <c r="S42" s="3">
        <v>93.47</v>
      </c>
      <c r="T42" s="3">
        <v>24.43</v>
      </c>
      <c r="U42" s="3">
        <v>19312.73</v>
      </c>
      <c r="V42" s="3">
        <v>124.9</v>
      </c>
      <c r="W42" s="3" t="s">
        <v>68</v>
      </c>
      <c r="X42" s="3">
        <v>68.290000000000006</v>
      </c>
      <c r="Y42" s="3">
        <v>52.84</v>
      </c>
      <c r="Z42" s="3">
        <v>12.66</v>
      </c>
      <c r="AA42" s="3">
        <v>23.46</v>
      </c>
      <c r="AB42" s="3">
        <v>7.56</v>
      </c>
      <c r="AC42" s="3">
        <v>630.04999999999995</v>
      </c>
      <c r="AD42" s="3">
        <v>12.69</v>
      </c>
      <c r="AE42" s="3">
        <v>41.15</v>
      </c>
      <c r="AF42" s="3">
        <v>4.4400000000000004</v>
      </c>
      <c r="AG42" s="3" t="s">
        <v>68</v>
      </c>
      <c r="AH42" s="3">
        <v>2.2200000000000002</v>
      </c>
      <c r="AI42" s="3">
        <v>134.36000000000001</v>
      </c>
      <c r="AJ42" s="3">
        <v>2.71</v>
      </c>
      <c r="AK42" s="3">
        <v>119.2</v>
      </c>
      <c r="AL42" s="3">
        <v>2.2599999999999998</v>
      </c>
      <c r="AM42" s="3">
        <v>250.22</v>
      </c>
      <c r="AN42" s="3">
        <v>3.19</v>
      </c>
      <c r="AO42" s="3">
        <v>6.8</v>
      </c>
      <c r="AP42" s="3">
        <v>1.66</v>
      </c>
      <c r="AQ42" s="3" t="s">
        <v>68</v>
      </c>
      <c r="AR42" s="3">
        <v>4.46</v>
      </c>
      <c r="AS42" s="3" t="s">
        <v>68</v>
      </c>
      <c r="AT42" s="3">
        <v>4.2300000000000004</v>
      </c>
      <c r="AU42" s="3" t="s">
        <v>68</v>
      </c>
      <c r="AV42" s="3">
        <v>6.08</v>
      </c>
      <c r="AW42" s="3">
        <v>4.59</v>
      </c>
      <c r="AX42" s="3">
        <v>3.03</v>
      </c>
      <c r="AY42" s="3" t="s">
        <v>68</v>
      </c>
      <c r="AZ42" s="3">
        <v>6.87</v>
      </c>
      <c r="BA42" s="3" t="s">
        <v>68</v>
      </c>
      <c r="BB42" s="3">
        <v>13.98</v>
      </c>
      <c r="BC42" s="3">
        <v>13.26</v>
      </c>
      <c r="BD42" s="3">
        <v>3.08</v>
      </c>
      <c r="BE42" s="3">
        <v>216.48</v>
      </c>
      <c r="BF42" s="3">
        <v>14.62</v>
      </c>
      <c r="BG42" s="3" t="s">
        <v>68</v>
      </c>
      <c r="BH42" s="3">
        <v>23.25</v>
      </c>
      <c r="BI42" s="3" t="s">
        <v>68</v>
      </c>
      <c r="BJ42" s="3">
        <v>3.38</v>
      </c>
      <c r="BK42" s="3" t="s">
        <v>68</v>
      </c>
      <c r="BL42" s="3">
        <v>5.12</v>
      </c>
      <c r="BM42" s="3">
        <v>117.27</v>
      </c>
      <c r="BN42" s="3">
        <v>5.0199999999999996</v>
      </c>
      <c r="BO42" s="3">
        <v>15.75</v>
      </c>
      <c r="BP42" s="3">
        <v>2.2200000000000002</v>
      </c>
      <c r="BQ42" s="3" t="s">
        <v>68</v>
      </c>
      <c r="BR42" s="3">
        <v>4.5599999999999996</v>
      </c>
    </row>
    <row r="43" spans="1:70" ht="14.25" customHeight="1">
      <c r="A43" s="2">
        <v>41</v>
      </c>
      <c r="B43" s="2">
        <f t="shared" si="0"/>
        <v>1261.6682156133829</v>
      </c>
      <c r="C43" s="3">
        <v>19823.21</v>
      </c>
      <c r="D43" s="3">
        <v>185.82</v>
      </c>
      <c r="E43" s="3" t="s">
        <v>68</v>
      </c>
      <c r="F43" s="3">
        <v>407.59</v>
      </c>
      <c r="G43" s="3">
        <v>11402.94</v>
      </c>
      <c r="H43" s="3">
        <v>348.69</v>
      </c>
      <c r="I43" s="3">
        <v>4427.2299999999996</v>
      </c>
      <c r="J43" s="3">
        <v>123.15</v>
      </c>
      <c r="K43" s="3">
        <v>34.17</v>
      </c>
      <c r="L43" s="3">
        <v>15.53</v>
      </c>
      <c r="M43" s="3">
        <v>4655.59</v>
      </c>
      <c r="N43" s="3">
        <v>57.02</v>
      </c>
      <c r="O43" s="3">
        <v>130.94999999999999</v>
      </c>
      <c r="P43" s="3">
        <v>14.76</v>
      </c>
      <c r="Q43" s="3">
        <v>47.18</v>
      </c>
      <c r="R43" s="3">
        <v>7.64</v>
      </c>
      <c r="S43" s="3">
        <v>83.73</v>
      </c>
      <c r="T43" s="3">
        <v>24.13</v>
      </c>
      <c r="U43" s="3">
        <v>20641.599999999999</v>
      </c>
      <c r="V43" s="3">
        <v>127.78</v>
      </c>
      <c r="W43" s="3" t="s">
        <v>68</v>
      </c>
      <c r="X43" s="3">
        <v>69.709999999999994</v>
      </c>
      <c r="Y43" s="3">
        <v>47.2</v>
      </c>
      <c r="Z43" s="3">
        <v>12.47</v>
      </c>
      <c r="AA43" s="3">
        <v>11.07</v>
      </c>
      <c r="AB43" s="3">
        <v>7.21</v>
      </c>
      <c r="AC43" s="3">
        <v>501.61</v>
      </c>
      <c r="AD43" s="3">
        <v>11.31</v>
      </c>
      <c r="AE43" s="3">
        <v>34.75</v>
      </c>
      <c r="AF43" s="3">
        <v>4.1100000000000003</v>
      </c>
      <c r="AG43" s="3" t="s">
        <v>68</v>
      </c>
      <c r="AH43" s="3">
        <v>2.19</v>
      </c>
      <c r="AI43" s="3">
        <v>118.96</v>
      </c>
      <c r="AJ43" s="3">
        <v>2.54</v>
      </c>
      <c r="AK43" s="3">
        <v>106.7</v>
      </c>
      <c r="AL43" s="3">
        <v>2.13</v>
      </c>
      <c r="AM43" s="3">
        <v>266.74</v>
      </c>
      <c r="AN43" s="3">
        <v>3.23</v>
      </c>
      <c r="AO43" s="3">
        <v>5.93</v>
      </c>
      <c r="AP43" s="3">
        <v>1.65</v>
      </c>
      <c r="AQ43" s="3" t="s">
        <v>68</v>
      </c>
      <c r="AR43" s="3">
        <v>4.53</v>
      </c>
      <c r="AS43" s="3" t="s">
        <v>68</v>
      </c>
      <c r="AT43" s="3">
        <v>4.26</v>
      </c>
      <c r="AU43" s="3" t="s">
        <v>68</v>
      </c>
      <c r="AV43" s="3">
        <v>6.07</v>
      </c>
      <c r="AW43" s="3" t="s">
        <v>68</v>
      </c>
      <c r="AX43" s="3">
        <v>4.5199999999999996</v>
      </c>
      <c r="AY43" s="3" t="s">
        <v>68</v>
      </c>
      <c r="AZ43" s="3">
        <v>6.91</v>
      </c>
      <c r="BA43" s="3" t="s">
        <v>68</v>
      </c>
      <c r="BB43" s="3">
        <v>13.98</v>
      </c>
      <c r="BC43" s="3">
        <v>11.05</v>
      </c>
      <c r="BD43" s="3">
        <v>3.08</v>
      </c>
      <c r="BE43" s="3">
        <v>210.05</v>
      </c>
      <c r="BF43" s="3">
        <v>14.64</v>
      </c>
      <c r="BG43" s="3" t="s">
        <v>68</v>
      </c>
      <c r="BH43" s="3">
        <v>22.8</v>
      </c>
      <c r="BI43" s="3" t="s">
        <v>68</v>
      </c>
      <c r="BJ43" s="3">
        <v>3.27</v>
      </c>
      <c r="BK43" s="3" t="s">
        <v>68</v>
      </c>
      <c r="BL43" s="3">
        <v>5.05</v>
      </c>
      <c r="BM43" s="3">
        <v>100.97</v>
      </c>
      <c r="BN43" s="3">
        <v>4.66</v>
      </c>
      <c r="BO43" s="3">
        <v>12.98</v>
      </c>
      <c r="BP43" s="3">
        <v>2.09</v>
      </c>
      <c r="BQ43" s="3" t="s">
        <v>68</v>
      </c>
      <c r="BR43" s="3">
        <v>4.41</v>
      </c>
    </row>
    <row r="44" spans="1:70" ht="14.25" customHeight="1">
      <c r="A44" s="2">
        <v>42</v>
      </c>
      <c r="B44" s="2">
        <f t="shared" si="0"/>
        <v>1243.0808550185875</v>
      </c>
      <c r="C44" s="3">
        <v>19564.650000000001</v>
      </c>
      <c r="D44" s="3">
        <v>186.06</v>
      </c>
      <c r="E44" s="3" t="s">
        <v>68</v>
      </c>
      <c r="F44" s="3">
        <v>404.73</v>
      </c>
      <c r="G44" s="3">
        <v>14086.35</v>
      </c>
      <c r="H44" s="3">
        <v>387.7</v>
      </c>
      <c r="I44" s="3">
        <v>3787.17</v>
      </c>
      <c r="J44" s="3">
        <v>123.08</v>
      </c>
      <c r="K44" s="3">
        <v>39.26</v>
      </c>
      <c r="L44" s="3">
        <v>15.17</v>
      </c>
      <c r="M44" s="3">
        <v>4770.0200000000004</v>
      </c>
      <c r="N44" s="3">
        <v>57.93</v>
      </c>
      <c r="O44" s="3">
        <v>128.02000000000001</v>
      </c>
      <c r="P44" s="3">
        <v>14.92</v>
      </c>
      <c r="Q44" s="3">
        <v>42.1</v>
      </c>
      <c r="R44" s="3">
        <v>7.66</v>
      </c>
      <c r="S44" s="3">
        <v>89.52</v>
      </c>
      <c r="T44" s="3">
        <v>24.67</v>
      </c>
      <c r="U44" s="3">
        <v>21839.040000000001</v>
      </c>
      <c r="V44" s="3">
        <v>133.4</v>
      </c>
      <c r="W44" s="3" t="s">
        <v>68</v>
      </c>
      <c r="X44" s="3">
        <v>72.77</v>
      </c>
      <c r="Y44" s="3">
        <v>52.44</v>
      </c>
      <c r="Z44" s="3">
        <v>12.73</v>
      </c>
      <c r="AA44" s="3">
        <v>18.66</v>
      </c>
      <c r="AB44" s="3">
        <v>7.49</v>
      </c>
      <c r="AC44" s="3">
        <v>504.83</v>
      </c>
      <c r="AD44" s="3">
        <v>11.52</v>
      </c>
      <c r="AE44" s="3">
        <v>35.770000000000003</v>
      </c>
      <c r="AF44" s="3">
        <v>4.16</v>
      </c>
      <c r="AG44" s="3" t="s">
        <v>68</v>
      </c>
      <c r="AH44" s="3">
        <v>2.19</v>
      </c>
      <c r="AI44" s="3">
        <v>113.74</v>
      </c>
      <c r="AJ44" s="3">
        <v>2.5299999999999998</v>
      </c>
      <c r="AK44" s="3">
        <v>103.93</v>
      </c>
      <c r="AL44" s="3">
        <v>2.13</v>
      </c>
      <c r="AM44" s="3">
        <v>255.37</v>
      </c>
      <c r="AN44" s="3">
        <v>3.22</v>
      </c>
      <c r="AO44" s="3">
        <v>6.51</v>
      </c>
      <c r="AP44" s="3">
        <v>1.67</v>
      </c>
      <c r="AQ44" s="3" t="s">
        <v>68</v>
      </c>
      <c r="AR44" s="3">
        <v>4.49</v>
      </c>
      <c r="AS44" s="3" t="s">
        <v>68</v>
      </c>
      <c r="AT44" s="3">
        <v>4.26</v>
      </c>
      <c r="AU44" s="3">
        <v>6.78</v>
      </c>
      <c r="AV44" s="3">
        <v>4.13</v>
      </c>
      <c r="AW44" s="3">
        <v>9.0500000000000007</v>
      </c>
      <c r="AX44" s="3">
        <v>3.09</v>
      </c>
      <c r="AY44" s="3" t="s">
        <v>68</v>
      </c>
      <c r="AZ44" s="3">
        <v>6.96</v>
      </c>
      <c r="BA44" s="3">
        <v>22.24</v>
      </c>
      <c r="BB44" s="3">
        <v>9.4600000000000009</v>
      </c>
      <c r="BC44" s="3">
        <v>21.74</v>
      </c>
      <c r="BD44" s="3">
        <v>3.12</v>
      </c>
      <c r="BE44" s="3">
        <v>236.07</v>
      </c>
      <c r="BF44" s="3">
        <v>14.78</v>
      </c>
      <c r="BG44" s="3" t="s">
        <v>68</v>
      </c>
      <c r="BH44" s="3">
        <v>23.02</v>
      </c>
      <c r="BI44" s="3" t="s">
        <v>68</v>
      </c>
      <c r="BJ44" s="3">
        <v>3.32</v>
      </c>
      <c r="BK44" s="3" t="s">
        <v>68</v>
      </c>
      <c r="BL44" s="3">
        <v>5.12</v>
      </c>
      <c r="BM44" s="3">
        <v>99.04</v>
      </c>
      <c r="BN44" s="3">
        <v>4.6900000000000004</v>
      </c>
      <c r="BO44" s="3">
        <v>12.56</v>
      </c>
      <c r="BP44" s="3">
        <v>2.1</v>
      </c>
      <c r="BQ44" s="3" t="s">
        <v>68</v>
      </c>
      <c r="BR44" s="3">
        <v>4.42</v>
      </c>
    </row>
    <row r="45" spans="1:70" ht="14.25" customHeight="1">
      <c r="A45" s="2">
        <v>43</v>
      </c>
      <c r="B45" s="2">
        <f t="shared" si="0"/>
        <v>1224.4934944237918</v>
      </c>
      <c r="C45" s="3">
        <v>18332.95</v>
      </c>
      <c r="D45" s="3">
        <v>178.06</v>
      </c>
      <c r="E45" s="3" t="s">
        <v>68</v>
      </c>
      <c r="F45" s="3">
        <v>404.13</v>
      </c>
      <c r="G45" s="3">
        <v>14831.19</v>
      </c>
      <c r="H45" s="3">
        <v>391.98</v>
      </c>
      <c r="I45" s="3">
        <v>6400.38</v>
      </c>
      <c r="J45" s="3">
        <v>128.56</v>
      </c>
      <c r="K45" s="3">
        <v>37.29</v>
      </c>
      <c r="L45" s="3">
        <v>17.48</v>
      </c>
      <c r="M45" s="3">
        <v>4074.64</v>
      </c>
      <c r="N45" s="3">
        <v>53.09</v>
      </c>
      <c r="O45" s="3">
        <v>120.32</v>
      </c>
      <c r="P45" s="3">
        <v>13.83</v>
      </c>
      <c r="Q45" s="3">
        <v>40.729999999999997</v>
      </c>
      <c r="R45" s="3">
        <v>7.45</v>
      </c>
      <c r="S45" s="3">
        <v>99.28</v>
      </c>
      <c r="T45" s="3">
        <v>24.63</v>
      </c>
      <c r="U45" s="3">
        <v>21666.17</v>
      </c>
      <c r="V45" s="3">
        <v>132.16</v>
      </c>
      <c r="W45" s="3" t="s">
        <v>68</v>
      </c>
      <c r="X45" s="3">
        <v>71.95</v>
      </c>
      <c r="Y45" s="3">
        <v>40.79</v>
      </c>
      <c r="Z45" s="3">
        <v>12.5</v>
      </c>
      <c r="AA45" s="3">
        <v>20.3</v>
      </c>
      <c r="AB45" s="3">
        <v>7.47</v>
      </c>
      <c r="AC45" s="3">
        <v>432.74</v>
      </c>
      <c r="AD45" s="3">
        <v>10.68</v>
      </c>
      <c r="AE45" s="3">
        <v>28.82</v>
      </c>
      <c r="AF45" s="3">
        <v>4.03</v>
      </c>
      <c r="AG45" s="3" t="s">
        <v>68</v>
      </c>
      <c r="AH45" s="3">
        <v>2.16</v>
      </c>
      <c r="AI45" s="3">
        <v>113.75</v>
      </c>
      <c r="AJ45" s="3">
        <v>2.5</v>
      </c>
      <c r="AK45" s="3">
        <v>102.76</v>
      </c>
      <c r="AL45" s="3">
        <v>2.11</v>
      </c>
      <c r="AM45" s="3">
        <v>246.21</v>
      </c>
      <c r="AN45" s="3">
        <v>3.15</v>
      </c>
      <c r="AO45" s="3">
        <v>6.44</v>
      </c>
      <c r="AP45" s="3">
        <v>1.65</v>
      </c>
      <c r="AQ45" s="3" t="s">
        <v>68</v>
      </c>
      <c r="AR45" s="3">
        <v>4.58</v>
      </c>
      <c r="AS45" s="3" t="s">
        <v>68</v>
      </c>
      <c r="AT45" s="3">
        <v>4.25</v>
      </c>
      <c r="AU45" s="3" t="s">
        <v>68</v>
      </c>
      <c r="AV45" s="3">
        <v>6.07</v>
      </c>
      <c r="AW45" s="3">
        <v>5.0199999999999996</v>
      </c>
      <c r="AX45" s="3">
        <v>3.05</v>
      </c>
      <c r="AY45" s="3" t="s">
        <v>68</v>
      </c>
      <c r="AZ45" s="3">
        <v>6.93</v>
      </c>
      <c r="BA45" s="3" t="s">
        <v>68</v>
      </c>
      <c r="BB45" s="3">
        <v>14.06</v>
      </c>
      <c r="BC45" s="3">
        <v>16.02</v>
      </c>
      <c r="BD45" s="3">
        <v>3.1</v>
      </c>
      <c r="BE45" s="3">
        <v>198.25</v>
      </c>
      <c r="BF45" s="3">
        <v>14.56</v>
      </c>
      <c r="BG45" s="3" t="s">
        <v>68</v>
      </c>
      <c r="BH45" s="3">
        <v>22.44</v>
      </c>
      <c r="BI45" s="3" t="s">
        <v>68</v>
      </c>
      <c r="BJ45" s="3">
        <v>3.35</v>
      </c>
      <c r="BK45" s="3" t="s">
        <v>68</v>
      </c>
      <c r="BL45" s="3">
        <v>4.9800000000000004</v>
      </c>
      <c r="BM45" s="3">
        <v>97.97</v>
      </c>
      <c r="BN45" s="3">
        <v>4.6399999999999997</v>
      </c>
      <c r="BO45" s="3">
        <v>12.36</v>
      </c>
      <c r="BP45" s="3">
        <v>2.08</v>
      </c>
      <c r="BQ45" s="3" t="s">
        <v>68</v>
      </c>
      <c r="BR45" s="3">
        <v>4.2699999999999996</v>
      </c>
    </row>
    <row r="46" spans="1:70" ht="14.25" customHeight="1">
      <c r="A46" s="2">
        <v>44</v>
      </c>
      <c r="B46" s="2">
        <f t="shared" si="0"/>
        <v>1205.9061338289962</v>
      </c>
      <c r="C46" s="3">
        <v>18945.75</v>
      </c>
      <c r="D46" s="3">
        <v>183.34</v>
      </c>
      <c r="E46" s="3" t="s">
        <v>68</v>
      </c>
      <c r="F46" s="3">
        <v>395.82</v>
      </c>
      <c r="G46" s="3">
        <v>13395.17</v>
      </c>
      <c r="H46" s="3">
        <v>378.92</v>
      </c>
      <c r="I46" s="3">
        <v>5556.9</v>
      </c>
      <c r="J46" s="3">
        <v>131.06</v>
      </c>
      <c r="K46" s="3">
        <v>39.35</v>
      </c>
      <c r="L46" s="3">
        <v>17.239999999999998</v>
      </c>
      <c r="M46" s="3">
        <v>4376.3500000000004</v>
      </c>
      <c r="N46" s="3">
        <v>56.2</v>
      </c>
      <c r="O46" s="3">
        <v>112.86</v>
      </c>
      <c r="P46" s="3">
        <v>14.52</v>
      </c>
      <c r="Q46" s="3">
        <v>42.71</v>
      </c>
      <c r="R46" s="3">
        <v>7.65</v>
      </c>
      <c r="S46" s="3">
        <v>98.72</v>
      </c>
      <c r="T46" s="3">
        <v>24.66</v>
      </c>
      <c r="U46" s="3">
        <v>20879.05</v>
      </c>
      <c r="V46" s="3">
        <v>129.77000000000001</v>
      </c>
      <c r="W46" s="3" t="s">
        <v>68</v>
      </c>
      <c r="X46" s="3">
        <v>70.94</v>
      </c>
      <c r="Y46" s="3">
        <v>39.25</v>
      </c>
      <c r="Z46" s="3">
        <v>12.45</v>
      </c>
      <c r="AA46" s="3">
        <v>20.72</v>
      </c>
      <c r="AB46" s="3">
        <v>7.45</v>
      </c>
      <c r="AC46" s="3">
        <v>419.34</v>
      </c>
      <c r="AD46" s="3">
        <v>10.54</v>
      </c>
      <c r="AE46" s="3">
        <v>22.91</v>
      </c>
      <c r="AF46" s="3">
        <v>3.88</v>
      </c>
      <c r="AG46" s="3" t="s">
        <v>68</v>
      </c>
      <c r="AH46" s="3">
        <v>2.21</v>
      </c>
      <c r="AI46" s="3">
        <v>107.99</v>
      </c>
      <c r="AJ46" s="3">
        <v>2.46</v>
      </c>
      <c r="AK46" s="3">
        <v>101.01</v>
      </c>
      <c r="AL46" s="3">
        <v>2.09</v>
      </c>
      <c r="AM46" s="3">
        <v>249.37</v>
      </c>
      <c r="AN46" s="3">
        <v>3.17</v>
      </c>
      <c r="AO46" s="3">
        <v>4.59</v>
      </c>
      <c r="AP46" s="3">
        <v>1.64</v>
      </c>
      <c r="AQ46" s="3" t="s">
        <v>68</v>
      </c>
      <c r="AR46" s="3">
        <v>4.54</v>
      </c>
      <c r="AS46" s="3" t="s">
        <v>68</v>
      </c>
      <c r="AT46" s="3">
        <v>4.1900000000000004</v>
      </c>
      <c r="AU46" s="3" t="s">
        <v>68</v>
      </c>
      <c r="AV46" s="3">
        <v>6.12</v>
      </c>
      <c r="AW46" s="3">
        <v>5</v>
      </c>
      <c r="AX46" s="3">
        <v>3.04</v>
      </c>
      <c r="AY46" s="3" t="s">
        <v>68</v>
      </c>
      <c r="AZ46" s="3">
        <v>6.93</v>
      </c>
      <c r="BA46" s="3">
        <v>29.07</v>
      </c>
      <c r="BB46" s="3">
        <v>9.4700000000000006</v>
      </c>
      <c r="BC46" s="3">
        <v>16.04</v>
      </c>
      <c r="BD46" s="3">
        <v>3.09</v>
      </c>
      <c r="BE46" s="3">
        <v>224.64</v>
      </c>
      <c r="BF46" s="3">
        <v>14.66</v>
      </c>
      <c r="BG46" s="3" t="s">
        <v>68</v>
      </c>
      <c r="BH46" s="3">
        <v>22.94</v>
      </c>
      <c r="BI46" s="3">
        <v>3.79</v>
      </c>
      <c r="BJ46" s="3">
        <v>2.27</v>
      </c>
      <c r="BK46" s="3" t="s">
        <v>68</v>
      </c>
      <c r="BL46" s="3">
        <v>5.04</v>
      </c>
      <c r="BM46" s="3">
        <v>93.06</v>
      </c>
      <c r="BN46" s="3">
        <v>4.54</v>
      </c>
      <c r="BO46" s="3">
        <v>12.85</v>
      </c>
      <c r="BP46" s="3">
        <v>2.08</v>
      </c>
      <c r="BQ46" s="3" t="s">
        <v>68</v>
      </c>
      <c r="BR46" s="3">
        <v>4.32</v>
      </c>
    </row>
    <row r="47" spans="1:70" ht="14.25" customHeight="1">
      <c r="A47" s="2">
        <v>45</v>
      </c>
      <c r="B47" s="2">
        <f t="shared" si="0"/>
        <v>1187.3187732342008</v>
      </c>
      <c r="C47" s="3">
        <v>18579.12</v>
      </c>
      <c r="D47" s="3">
        <v>184.31</v>
      </c>
      <c r="E47" s="3" t="s">
        <v>68</v>
      </c>
      <c r="F47" s="3">
        <v>404.82</v>
      </c>
      <c r="G47" s="3">
        <v>17173.07</v>
      </c>
      <c r="H47" s="3">
        <v>432.29</v>
      </c>
      <c r="I47" s="3">
        <v>5702.1</v>
      </c>
      <c r="J47" s="3">
        <v>129.81</v>
      </c>
      <c r="K47" s="3">
        <v>30.02</v>
      </c>
      <c r="L47" s="3">
        <v>17.28</v>
      </c>
      <c r="M47" s="3">
        <v>4291.63</v>
      </c>
      <c r="N47" s="3">
        <v>55.97</v>
      </c>
      <c r="O47" s="3">
        <v>125.84</v>
      </c>
      <c r="P47" s="3">
        <v>14.55</v>
      </c>
      <c r="Q47" s="3">
        <v>39.15</v>
      </c>
      <c r="R47" s="3">
        <v>7.66</v>
      </c>
      <c r="S47" s="3">
        <v>102.29</v>
      </c>
      <c r="T47" s="3">
        <v>25.21</v>
      </c>
      <c r="U47" s="3">
        <v>25152.11</v>
      </c>
      <c r="V47" s="3">
        <v>143.37</v>
      </c>
      <c r="W47" s="3" t="s">
        <v>68</v>
      </c>
      <c r="X47" s="3">
        <v>77.25</v>
      </c>
      <c r="Y47" s="3">
        <v>47.49</v>
      </c>
      <c r="Z47" s="3">
        <v>12.77</v>
      </c>
      <c r="AA47" s="3">
        <v>17.78</v>
      </c>
      <c r="AB47" s="3">
        <v>7.55</v>
      </c>
      <c r="AC47" s="3">
        <v>397.36</v>
      </c>
      <c r="AD47" s="3">
        <v>10.38</v>
      </c>
      <c r="AE47" s="3">
        <v>29.2</v>
      </c>
      <c r="AF47" s="3">
        <v>3.97</v>
      </c>
      <c r="AG47" s="3" t="s">
        <v>68</v>
      </c>
      <c r="AH47" s="3">
        <v>2.2200000000000002</v>
      </c>
      <c r="AI47" s="3">
        <v>105.23</v>
      </c>
      <c r="AJ47" s="3">
        <v>2.44</v>
      </c>
      <c r="AK47" s="3">
        <v>98.19</v>
      </c>
      <c r="AL47" s="3">
        <v>2.09</v>
      </c>
      <c r="AM47" s="3">
        <v>236.09</v>
      </c>
      <c r="AN47" s="3">
        <v>3.12</v>
      </c>
      <c r="AO47" s="3">
        <v>8.0500000000000007</v>
      </c>
      <c r="AP47" s="3">
        <v>1.67</v>
      </c>
      <c r="AQ47" s="3" t="s">
        <v>68</v>
      </c>
      <c r="AR47" s="3">
        <v>4.7</v>
      </c>
      <c r="AS47" s="3" t="s">
        <v>68</v>
      </c>
      <c r="AT47" s="3">
        <v>4.3600000000000003</v>
      </c>
      <c r="AU47" s="3" t="s">
        <v>68</v>
      </c>
      <c r="AV47" s="3">
        <v>6.34</v>
      </c>
      <c r="AW47" s="3">
        <v>5</v>
      </c>
      <c r="AX47" s="3">
        <v>3.14</v>
      </c>
      <c r="AY47" s="3" t="s">
        <v>68</v>
      </c>
      <c r="AZ47" s="3">
        <v>7.19</v>
      </c>
      <c r="BA47" s="3">
        <v>22.5</v>
      </c>
      <c r="BB47" s="3">
        <v>9.75</v>
      </c>
      <c r="BC47" s="3">
        <v>13.62</v>
      </c>
      <c r="BD47" s="3">
        <v>3.19</v>
      </c>
      <c r="BE47" s="3">
        <v>202.17</v>
      </c>
      <c r="BF47" s="3">
        <v>15.05</v>
      </c>
      <c r="BG47" s="3" t="s">
        <v>68</v>
      </c>
      <c r="BH47" s="3">
        <v>23.36</v>
      </c>
      <c r="BI47" s="3" t="s">
        <v>68</v>
      </c>
      <c r="BJ47" s="3">
        <v>3.33</v>
      </c>
      <c r="BK47" s="3">
        <v>7.15</v>
      </c>
      <c r="BL47" s="3">
        <v>3.52</v>
      </c>
      <c r="BM47" s="3">
        <v>91.05</v>
      </c>
      <c r="BN47" s="3">
        <v>4.54</v>
      </c>
      <c r="BO47" s="3">
        <v>11.78</v>
      </c>
      <c r="BP47" s="3">
        <v>2.0699999999999998</v>
      </c>
      <c r="BQ47" s="3" t="s">
        <v>68</v>
      </c>
      <c r="BR47" s="3">
        <v>4.29</v>
      </c>
    </row>
    <row r="48" spans="1:70" ht="14.25" customHeight="1">
      <c r="A48" s="2">
        <v>46</v>
      </c>
      <c r="B48" s="2">
        <f t="shared" si="0"/>
        <v>1168.7314126394053</v>
      </c>
      <c r="C48" s="3">
        <v>18768.419999999998</v>
      </c>
      <c r="D48" s="3">
        <v>193.19</v>
      </c>
      <c r="E48" s="3" t="s">
        <v>68</v>
      </c>
      <c r="F48" s="3">
        <v>441.74</v>
      </c>
      <c r="G48" s="3">
        <v>24108.26</v>
      </c>
      <c r="H48" s="3">
        <v>530.36</v>
      </c>
      <c r="I48" s="3">
        <v>7871.98</v>
      </c>
      <c r="J48" s="3">
        <v>141.01</v>
      </c>
      <c r="K48" s="3">
        <v>60.63</v>
      </c>
      <c r="L48" s="3">
        <v>20.47</v>
      </c>
      <c r="M48" s="3">
        <v>4137.3500000000004</v>
      </c>
      <c r="N48" s="3">
        <v>57.73</v>
      </c>
      <c r="O48" s="3">
        <v>129.26</v>
      </c>
      <c r="P48" s="3">
        <v>15.12</v>
      </c>
      <c r="Q48" s="3">
        <v>58.38</v>
      </c>
      <c r="R48" s="3">
        <v>8.24</v>
      </c>
      <c r="S48" s="3">
        <v>130.01</v>
      </c>
      <c r="T48" s="3">
        <v>26.37</v>
      </c>
      <c r="U48" s="3">
        <v>29722.69</v>
      </c>
      <c r="V48" s="3">
        <v>156.88</v>
      </c>
      <c r="W48" s="3" t="s">
        <v>68</v>
      </c>
      <c r="X48" s="3">
        <v>85.22</v>
      </c>
      <c r="Y48" s="3">
        <v>44.57</v>
      </c>
      <c r="Z48" s="3">
        <v>12.98</v>
      </c>
      <c r="AA48" s="3">
        <v>16.73</v>
      </c>
      <c r="AB48" s="3">
        <v>7.61</v>
      </c>
      <c r="AC48" s="3">
        <v>456.45</v>
      </c>
      <c r="AD48" s="3">
        <v>11.13</v>
      </c>
      <c r="AE48" s="3">
        <v>25.4</v>
      </c>
      <c r="AF48" s="3">
        <v>4.12</v>
      </c>
      <c r="AG48" s="3" t="s">
        <v>68</v>
      </c>
      <c r="AH48" s="3">
        <v>2.3199999999999998</v>
      </c>
      <c r="AI48" s="3">
        <v>112.37</v>
      </c>
      <c r="AJ48" s="3">
        <v>2.5299999999999998</v>
      </c>
      <c r="AK48" s="3">
        <v>109.62</v>
      </c>
      <c r="AL48" s="3">
        <v>2.21</v>
      </c>
      <c r="AM48" s="3">
        <v>220.55</v>
      </c>
      <c r="AN48" s="3">
        <v>3.07</v>
      </c>
      <c r="AO48" s="3">
        <v>8.9</v>
      </c>
      <c r="AP48" s="3">
        <v>1.68</v>
      </c>
      <c r="AQ48" s="3" t="s">
        <v>68</v>
      </c>
      <c r="AR48" s="3">
        <v>4.79</v>
      </c>
      <c r="AS48" s="3">
        <v>4.53</v>
      </c>
      <c r="AT48" s="3">
        <v>2.99</v>
      </c>
      <c r="AU48" s="3">
        <v>8.3800000000000008</v>
      </c>
      <c r="AV48" s="3">
        <v>4.33</v>
      </c>
      <c r="AW48" s="3">
        <v>8</v>
      </c>
      <c r="AX48" s="3">
        <v>3.21</v>
      </c>
      <c r="AY48" s="3" t="s">
        <v>68</v>
      </c>
      <c r="AZ48" s="3">
        <v>7.28</v>
      </c>
      <c r="BA48" s="3">
        <v>26.73</v>
      </c>
      <c r="BB48" s="3">
        <v>9.9</v>
      </c>
      <c r="BC48" s="3">
        <v>19.510000000000002</v>
      </c>
      <c r="BD48" s="3">
        <v>3.25</v>
      </c>
      <c r="BE48" s="3">
        <v>236.27</v>
      </c>
      <c r="BF48" s="3">
        <v>15.41</v>
      </c>
      <c r="BG48" s="3" t="s">
        <v>68</v>
      </c>
      <c r="BH48" s="3">
        <v>23.82</v>
      </c>
      <c r="BI48" s="3" t="s">
        <v>68</v>
      </c>
      <c r="BJ48" s="3">
        <v>3.5</v>
      </c>
      <c r="BK48" s="3" t="s">
        <v>68</v>
      </c>
      <c r="BL48" s="3">
        <v>5.25</v>
      </c>
      <c r="BM48" s="3">
        <v>103.4</v>
      </c>
      <c r="BN48" s="3">
        <v>4.83</v>
      </c>
      <c r="BO48" s="3">
        <v>11.22</v>
      </c>
      <c r="BP48" s="3">
        <v>2.12</v>
      </c>
      <c r="BQ48" s="3" t="s">
        <v>68</v>
      </c>
      <c r="BR48" s="3">
        <v>4.3099999999999996</v>
      </c>
    </row>
    <row r="49" spans="1:70" ht="14.25" customHeight="1">
      <c r="A49" s="2">
        <v>47</v>
      </c>
      <c r="B49" s="2">
        <f t="shared" si="0"/>
        <v>1150.1440520446097</v>
      </c>
      <c r="C49" s="3">
        <v>16975.810000000001</v>
      </c>
      <c r="D49" s="3">
        <v>181.11</v>
      </c>
      <c r="E49" s="3" t="s">
        <v>68</v>
      </c>
      <c r="F49" s="3">
        <v>418.15</v>
      </c>
      <c r="G49" s="3">
        <v>22062.93</v>
      </c>
      <c r="H49" s="3">
        <v>499.54</v>
      </c>
      <c r="I49" s="3">
        <v>28212.2</v>
      </c>
      <c r="J49" s="3">
        <v>196.35</v>
      </c>
      <c r="K49" s="3" t="s">
        <v>68</v>
      </c>
      <c r="L49" s="3">
        <v>50.98</v>
      </c>
      <c r="M49" s="3">
        <v>3677.66</v>
      </c>
      <c r="N49" s="3">
        <v>53.97</v>
      </c>
      <c r="O49" s="3">
        <v>95.78</v>
      </c>
      <c r="P49" s="3">
        <v>13.96</v>
      </c>
      <c r="Q49" s="3">
        <v>36.380000000000003</v>
      </c>
      <c r="R49" s="3">
        <v>7.69</v>
      </c>
      <c r="S49" s="3">
        <v>108.26</v>
      </c>
      <c r="T49" s="3">
        <v>25.36</v>
      </c>
      <c r="U49" s="3">
        <v>23982.49</v>
      </c>
      <c r="V49" s="3">
        <v>140.34</v>
      </c>
      <c r="W49" s="3" t="s">
        <v>68</v>
      </c>
      <c r="X49" s="3">
        <v>75.59</v>
      </c>
      <c r="Y49" s="3">
        <v>53.13</v>
      </c>
      <c r="Z49" s="3">
        <v>12.79</v>
      </c>
      <c r="AA49" s="3">
        <v>12.35</v>
      </c>
      <c r="AB49" s="3">
        <v>7.42</v>
      </c>
      <c r="AC49" s="3">
        <v>291.3</v>
      </c>
      <c r="AD49" s="3">
        <v>9.06</v>
      </c>
      <c r="AE49" s="3">
        <v>22.14</v>
      </c>
      <c r="AF49" s="3">
        <v>3.59</v>
      </c>
      <c r="AG49" s="3" t="s">
        <v>68</v>
      </c>
      <c r="AH49" s="3">
        <v>2.19</v>
      </c>
      <c r="AI49" s="3">
        <v>82.53</v>
      </c>
      <c r="AJ49" s="3">
        <v>2.2000000000000002</v>
      </c>
      <c r="AK49" s="3">
        <v>140.66</v>
      </c>
      <c r="AL49" s="3">
        <v>2.46</v>
      </c>
      <c r="AM49" s="3">
        <v>164.57</v>
      </c>
      <c r="AN49" s="3">
        <v>2.75</v>
      </c>
      <c r="AO49" s="3">
        <v>5.74</v>
      </c>
      <c r="AP49" s="3">
        <v>1.59</v>
      </c>
      <c r="AQ49" s="3" t="s">
        <v>68</v>
      </c>
      <c r="AR49" s="3">
        <v>4.7699999999999996</v>
      </c>
      <c r="AS49" s="3">
        <v>5.1100000000000003</v>
      </c>
      <c r="AT49" s="3">
        <v>2.99</v>
      </c>
      <c r="AU49" s="3">
        <v>7.73</v>
      </c>
      <c r="AV49" s="3">
        <v>4.3099999999999996</v>
      </c>
      <c r="AW49" s="3">
        <v>10.7</v>
      </c>
      <c r="AX49" s="3">
        <v>3.23</v>
      </c>
      <c r="AY49" s="3">
        <v>14.01</v>
      </c>
      <c r="AZ49" s="3">
        <v>4.93</v>
      </c>
      <c r="BA49" s="3">
        <v>38.299999999999997</v>
      </c>
      <c r="BB49" s="3">
        <v>9.9499999999999993</v>
      </c>
      <c r="BC49" s="3">
        <v>28.15</v>
      </c>
      <c r="BD49" s="3">
        <v>3.27</v>
      </c>
      <c r="BE49" s="3">
        <v>254.58</v>
      </c>
      <c r="BF49" s="3">
        <v>15.43</v>
      </c>
      <c r="BG49" s="3" t="s">
        <v>68</v>
      </c>
      <c r="BH49" s="3">
        <v>22.36</v>
      </c>
      <c r="BI49" s="3" t="s">
        <v>68</v>
      </c>
      <c r="BJ49" s="3">
        <v>3.34</v>
      </c>
      <c r="BK49" s="3">
        <v>7.38</v>
      </c>
      <c r="BL49" s="3">
        <v>3.4</v>
      </c>
      <c r="BM49" s="3">
        <v>72.47</v>
      </c>
      <c r="BN49" s="3">
        <v>4.1399999999999997</v>
      </c>
      <c r="BO49" s="3">
        <v>9.35</v>
      </c>
      <c r="BP49" s="3">
        <v>1.95</v>
      </c>
      <c r="BQ49" s="3" t="s">
        <v>68</v>
      </c>
      <c r="BR49" s="3">
        <v>4.04</v>
      </c>
    </row>
    <row r="50" spans="1:70" ht="14.25" customHeight="1">
      <c r="A50" s="2">
        <v>48</v>
      </c>
      <c r="B50" s="2">
        <f t="shared" si="0"/>
        <v>1131.556691449814</v>
      </c>
      <c r="C50" s="3">
        <v>18472.669999999998</v>
      </c>
      <c r="D50" s="3">
        <v>184.77</v>
      </c>
      <c r="E50" s="3" t="s">
        <v>68</v>
      </c>
      <c r="F50" s="3">
        <v>424.9</v>
      </c>
      <c r="G50" s="3">
        <v>17067.79</v>
      </c>
      <c r="H50" s="3">
        <v>433.58</v>
      </c>
      <c r="I50" s="3">
        <v>24053.84</v>
      </c>
      <c r="J50" s="3">
        <v>183.2</v>
      </c>
      <c r="K50" s="3">
        <v>65.8</v>
      </c>
      <c r="L50" s="3">
        <v>31.18</v>
      </c>
      <c r="M50" s="3">
        <v>3874.5</v>
      </c>
      <c r="N50" s="3">
        <v>54.12</v>
      </c>
      <c r="O50" s="3">
        <v>112.77</v>
      </c>
      <c r="P50" s="3">
        <v>14.09</v>
      </c>
      <c r="Q50" s="3">
        <v>33.950000000000003</v>
      </c>
      <c r="R50" s="3">
        <v>7.57</v>
      </c>
      <c r="S50" s="3">
        <v>107.66</v>
      </c>
      <c r="T50" s="3">
        <v>25.21</v>
      </c>
      <c r="U50" s="3">
        <v>22287.38</v>
      </c>
      <c r="V50" s="3">
        <v>135.18</v>
      </c>
      <c r="W50" s="3" t="s">
        <v>68</v>
      </c>
      <c r="X50" s="3">
        <v>73.22</v>
      </c>
      <c r="Y50" s="3">
        <v>43.12</v>
      </c>
      <c r="Z50" s="3">
        <v>12.64</v>
      </c>
      <c r="AA50" s="3">
        <v>12.98</v>
      </c>
      <c r="AB50" s="3">
        <v>7.4</v>
      </c>
      <c r="AC50" s="3">
        <v>339.2</v>
      </c>
      <c r="AD50" s="3">
        <v>9.68</v>
      </c>
      <c r="AE50" s="3">
        <v>20.47</v>
      </c>
      <c r="AF50" s="3">
        <v>3.65</v>
      </c>
      <c r="AG50" s="3" t="s">
        <v>68</v>
      </c>
      <c r="AH50" s="3">
        <v>2.23</v>
      </c>
      <c r="AI50" s="3">
        <v>93.9</v>
      </c>
      <c r="AJ50" s="3">
        <v>2.3199999999999998</v>
      </c>
      <c r="AK50" s="3">
        <v>132.24</v>
      </c>
      <c r="AL50" s="3">
        <v>2.39</v>
      </c>
      <c r="AM50" s="3">
        <v>192.27</v>
      </c>
      <c r="AN50" s="3">
        <v>2.9</v>
      </c>
      <c r="AO50" s="3">
        <v>5.77</v>
      </c>
      <c r="AP50" s="3">
        <v>1.61</v>
      </c>
      <c r="AQ50" s="3" t="s">
        <v>68</v>
      </c>
      <c r="AR50" s="3">
        <v>4.74</v>
      </c>
      <c r="AS50" s="3" t="s">
        <v>68</v>
      </c>
      <c r="AT50" s="3">
        <v>4.4000000000000004</v>
      </c>
      <c r="AU50" s="3" t="s">
        <v>68</v>
      </c>
      <c r="AV50" s="3">
        <v>6.37</v>
      </c>
      <c r="AW50" s="3">
        <v>9.7100000000000009</v>
      </c>
      <c r="AX50" s="3">
        <v>3.19</v>
      </c>
      <c r="AY50" s="3">
        <v>8.52</v>
      </c>
      <c r="AZ50" s="3">
        <v>4.84</v>
      </c>
      <c r="BA50" s="3">
        <v>30.43</v>
      </c>
      <c r="BB50" s="3">
        <v>9.81</v>
      </c>
      <c r="BC50" s="3">
        <v>23.97</v>
      </c>
      <c r="BD50" s="3">
        <v>3.23</v>
      </c>
      <c r="BE50" s="3">
        <v>240.64</v>
      </c>
      <c r="BF50" s="3">
        <v>15.24</v>
      </c>
      <c r="BG50" s="3" t="s">
        <v>68</v>
      </c>
      <c r="BH50" s="3">
        <v>23.08</v>
      </c>
      <c r="BI50" s="3">
        <v>3.42</v>
      </c>
      <c r="BJ50" s="3">
        <v>2.27</v>
      </c>
      <c r="BK50" s="3" t="s">
        <v>68</v>
      </c>
      <c r="BL50" s="3">
        <v>5.15</v>
      </c>
      <c r="BM50" s="3">
        <v>78.05</v>
      </c>
      <c r="BN50" s="3">
        <v>4.26</v>
      </c>
      <c r="BO50" s="3">
        <v>9.2200000000000006</v>
      </c>
      <c r="BP50" s="3">
        <v>1.96</v>
      </c>
      <c r="BQ50" s="3" t="s">
        <v>68</v>
      </c>
      <c r="BR50" s="3">
        <v>4.1399999999999997</v>
      </c>
    </row>
    <row r="51" spans="1:70" ht="14.25" customHeight="1">
      <c r="A51" s="2">
        <v>49</v>
      </c>
      <c r="B51" s="2">
        <f t="shared" si="0"/>
        <v>1112.9693308550186</v>
      </c>
      <c r="C51" s="3">
        <v>17134.11</v>
      </c>
      <c r="D51" s="3">
        <v>177.02</v>
      </c>
      <c r="E51" s="3" t="s">
        <v>68</v>
      </c>
      <c r="F51" s="3">
        <v>435.45</v>
      </c>
      <c r="G51" s="3">
        <v>16567.400000000001</v>
      </c>
      <c r="H51" s="3">
        <v>424.55</v>
      </c>
      <c r="I51" s="3">
        <v>36029.29</v>
      </c>
      <c r="J51" s="3">
        <v>210.58</v>
      </c>
      <c r="K51" s="3" t="s">
        <v>68</v>
      </c>
      <c r="L51" s="3">
        <v>55.57</v>
      </c>
      <c r="M51" s="3">
        <v>3535.55</v>
      </c>
      <c r="N51" s="3">
        <v>51.45</v>
      </c>
      <c r="O51" s="3">
        <v>91.73</v>
      </c>
      <c r="P51" s="3">
        <v>13.3</v>
      </c>
      <c r="Q51" s="3">
        <v>34.229999999999997</v>
      </c>
      <c r="R51" s="3">
        <v>7.41</v>
      </c>
      <c r="S51" s="3">
        <v>135.69999999999999</v>
      </c>
      <c r="T51" s="3">
        <v>25.78</v>
      </c>
      <c r="U51" s="3">
        <v>19907.830000000002</v>
      </c>
      <c r="V51" s="3">
        <v>127.75</v>
      </c>
      <c r="W51" s="3" t="s">
        <v>68</v>
      </c>
      <c r="X51" s="3">
        <v>68.25</v>
      </c>
      <c r="Y51" s="3">
        <v>62.99</v>
      </c>
      <c r="Z51" s="3">
        <v>12.76</v>
      </c>
      <c r="AA51" s="3">
        <v>19.760000000000002</v>
      </c>
      <c r="AB51" s="3">
        <v>7.55</v>
      </c>
      <c r="AC51" s="3">
        <v>265.19</v>
      </c>
      <c r="AD51" s="3">
        <v>8.6999999999999993</v>
      </c>
      <c r="AE51" s="3">
        <v>16.66</v>
      </c>
      <c r="AF51" s="3">
        <v>3.37</v>
      </c>
      <c r="AG51" s="3" t="s">
        <v>68</v>
      </c>
      <c r="AH51" s="3">
        <v>2.1800000000000002</v>
      </c>
      <c r="AI51" s="3">
        <v>77.98</v>
      </c>
      <c r="AJ51" s="3">
        <v>2.14</v>
      </c>
      <c r="AK51" s="3">
        <v>158.27000000000001</v>
      </c>
      <c r="AL51" s="3">
        <v>2.59</v>
      </c>
      <c r="AM51" s="3">
        <v>170.89</v>
      </c>
      <c r="AN51" s="3">
        <v>2.8</v>
      </c>
      <c r="AO51" s="3">
        <v>4.57</v>
      </c>
      <c r="AP51" s="3">
        <v>1.58</v>
      </c>
      <c r="AQ51" s="3" t="s">
        <v>68</v>
      </c>
      <c r="AR51" s="3">
        <v>4.75</v>
      </c>
      <c r="AS51" s="3" t="s">
        <v>68</v>
      </c>
      <c r="AT51" s="3">
        <v>4.34</v>
      </c>
      <c r="AU51" s="3">
        <v>9.3800000000000008</v>
      </c>
      <c r="AV51" s="3">
        <v>4.28</v>
      </c>
      <c r="AW51" s="3">
        <v>11.1</v>
      </c>
      <c r="AX51" s="3">
        <v>3.19</v>
      </c>
      <c r="AY51" s="3">
        <v>13.85</v>
      </c>
      <c r="AZ51" s="3">
        <v>4.87</v>
      </c>
      <c r="BA51" s="3">
        <v>40.520000000000003</v>
      </c>
      <c r="BB51" s="3">
        <v>9.85</v>
      </c>
      <c r="BC51" s="3">
        <v>33.26</v>
      </c>
      <c r="BD51" s="3">
        <v>3.25</v>
      </c>
      <c r="BE51" s="3">
        <v>274.85000000000002</v>
      </c>
      <c r="BF51" s="3">
        <v>15.35</v>
      </c>
      <c r="BG51" s="3" t="s">
        <v>68</v>
      </c>
      <c r="BH51" s="3">
        <v>22.76</v>
      </c>
      <c r="BI51" s="3" t="s">
        <v>68</v>
      </c>
      <c r="BJ51" s="3">
        <v>3.33</v>
      </c>
      <c r="BK51" s="3" t="s">
        <v>68</v>
      </c>
      <c r="BL51" s="3">
        <v>5.0599999999999996</v>
      </c>
      <c r="BM51" s="3">
        <v>64.59</v>
      </c>
      <c r="BN51" s="3">
        <v>3.94</v>
      </c>
      <c r="BO51" s="3">
        <v>7.93</v>
      </c>
      <c r="BP51" s="3">
        <v>1.87</v>
      </c>
      <c r="BQ51" s="3" t="s">
        <v>68</v>
      </c>
      <c r="BR51" s="3">
        <v>3.97</v>
      </c>
    </row>
    <row r="52" spans="1:70" ht="14.25" customHeight="1"/>
    <row r="53" spans="1:70" ht="14.25" customHeight="1"/>
    <row r="54" spans="1:70" ht="14.25" customHeight="1"/>
    <row r="55" spans="1:70" ht="14.25" customHeight="1"/>
    <row r="56" spans="1:70" ht="14.25" customHeight="1"/>
    <row r="57" spans="1:70" ht="14.25" customHeight="1"/>
    <row r="58" spans="1:70" ht="14.25" customHeight="1"/>
    <row r="59" spans="1:70" ht="14.25" customHeight="1"/>
    <row r="60" spans="1:70" ht="14.25" customHeight="1"/>
    <row r="61" spans="1:70" ht="14.25" customHeight="1"/>
    <row r="62" spans="1:70" ht="14.25" customHeight="1"/>
    <row r="63" spans="1:70" ht="14.25" customHeight="1"/>
    <row r="64" spans="1:7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R8"/>
  <sheetViews>
    <sheetView workbookViewId="0">
      <selection activeCell="B2" sqref="B2:B8"/>
    </sheetView>
  </sheetViews>
  <sheetFormatPr baseColWidth="10" defaultColWidth="12.6328125" defaultRowHeight="15" customHeight="1"/>
  <sheetData>
    <row r="1" spans="1:70">
      <c r="A1" s="4" t="s">
        <v>69</v>
      </c>
      <c r="B1" s="4" t="s">
        <v>179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</row>
    <row r="2" spans="1:70">
      <c r="A2" s="5">
        <v>6</v>
      </c>
      <c r="B2" s="5">
        <f>2023.75-(A2/0.0583)</f>
        <v>1920.8340480274442</v>
      </c>
      <c r="C2" s="6">
        <v>18484.07</v>
      </c>
      <c r="D2" s="6">
        <v>173.94</v>
      </c>
      <c r="E2" s="6">
        <v>512.61</v>
      </c>
      <c r="F2" s="6">
        <v>262.93</v>
      </c>
      <c r="G2" s="6">
        <v>1923.48</v>
      </c>
      <c r="H2" s="6">
        <v>162.66</v>
      </c>
      <c r="I2" s="6">
        <v>1151.57</v>
      </c>
      <c r="J2" s="6">
        <v>111.3</v>
      </c>
      <c r="K2" s="6">
        <v>30.85</v>
      </c>
      <c r="L2" s="6">
        <v>11.36</v>
      </c>
      <c r="M2" s="6">
        <v>4499.67</v>
      </c>
      <c r="N2" s="6">
        <v>54.98</v>
      </c>
      <c r="O2" s="6">
        <v>126.13</v>
      </c>
      <c r="P2" s="6">
        <v>14.31</v>
      </c>
      <c r="Q2" s="6">
        <v>44.07</v>
      </c>
      <c r="R2" s="6">
        <v>7.41</v>
      </c>
      <c r="S2" s="6">
        <v>42.68</v>
      </c>
      <c r="T2" s="6">
        <v>22.38</v>
      </c>
      <c r="U2" s="6">
        <v>19775.88</v>
      </c>
      <c r="V2" s="6">
        <v>123.22</v>
      </c>
      <c r="W2" s="5" t="s">
        <v>68</v>
      </c>
      <c r="X2" s="6">
        <v>67.08</v>
      </c>
      <c r="Y2" s="6">
        <v>20.41</v>
      </c>
      <c r="Z2" s="6">
        <v>11.94</v>
      </c>
      <c r="AA2" s="6">
        <v>12.32</v>
      </c>
      <c r="AB2" s="6">
        <v>7.11</v>
      </c>
      <c r="AC2" s="6">
        <v>196.42</v>
      </c>
      <c r="AD2" s="6">
        <v>7.45</v>
      </c>
      <c r="AE2" s="6">
        <v>22.5</v>
      </c>
      <c r="AF2" s="6">
        <v>3.39</v>
      </c>
      <c r="AG2" s="5" t="s">
        <v>68</v>
      </c>
      <c r="AH2" s="6">
        <v>2.11</v>
      </c>
      <c r="AI2" s="6">
        <v>142.83000000000001</v>
      </c>
      <c r="AJ2" s="6">
        <v>2.71</v>
      </c>
      <c r="AK2" s="6">
        <v>113.42</v>
      </c>
      <c r="AL2" s="6">
        <v>2.15</v>
      </c>
      <c r="AM2" s="6">
        <v>289.95999999999998</v>
      </c>
      <c r="AN2" s="6">
        <v>3.31</v>
      </c>
      <c r="AO2" s="6">
        <v>5.65</v>
      </c>
      <c r="AP2" s="6">
        <v>1.63</v>
      </c>
      <c r="AQ2" s="5" t="s">
        <v>68</v>
      </c>
      <c r="AR2" s="6">
        <v>4.33</v>
      </c>
      <c r="AS2" s="5" t="s">
        <v>68</v>
      </c>
      <c r="AT2" s="6">
        <v>4.08</v>
      </c>
      <c r="AU2" s="5" t="s">
        <v>68</v>
      </c>
      <c r="AV2" s="6">
        <v>5.85</v>
      </c>
      <c r="AW2" s="5" t="s">
        <v>68</v>
      </c>
      <c r="AX2" s="6">
        <v>4.3499999999999996</v>
      </c>
      <c r="AY2" s="5" t="s">
        <v>68</v>
      </c>
      <c r="AZ2" s="6">
        <v>6.6</v>
      </c>
      <c r="BA2" s="5" t="s">
        <v>68</v>
      </c>
      <c r="BB2" s="6">
        <v>13.28</v>
      </c>
      <c r="BC2" s="5" t="s">
        <v>68</v>
      </c>
      <c r="BD2" s="6">
        <v>4.41</v>
      </c>
      <c r="BE2" s="6">
        <v>63.21</v>
      </c>
      <c r="BF2" s="6">
        <v>13.79</v>
      </c>
      <c r="BG2" s="5" t="s">
        <v>68</v>
      </c>
      <c r="BH2" s="6">
        <v>21.87</v>
      </c>
      <c r="BI2" s="6">
        <v>6.14</v>
      </c>
      <c r="BJ2" s="6">
        <v>2.27</v>
      </c>
      <c r="BK2" s="5" t="s">
        <v>68</v>
      </c>
      <c r="BL2" s="6">
        <v>4.84</v>
      </c>
      <c r="BM2" s="6">
        <v>66.8</v>
      </c>
      <c r="BN2" s="6">
        <v>3.88</v>
      </c>
      <c r="BO2" s="6">
        <v>13.91</v>
      </c>
      <c r="BP2" s="6">
        <v>2.0299999999999998</v>
      </c>
      <c r="BQ2" s="5" t="s">
        <v>68</v>
      </c>
      <c r="BR2" s="6">
        <v>4.45</v>
      </c>
    </row>
    <row r="3" spans="1:70">
      <c r="A3" s="5">
        <v>10</v>
      </c>
      <c r="B3" s="5">
        <f t="shared" ref="B3:B8" si="0">2023.75-(A3/0.0583)</f>
        <v>1852.2234133790737</v>
      </c>
      <c r="C3" s="6">
        <v>20446.77</v>
      </c>
      <c r="D3" s="6">
        <v>193.32</v>
      </c>
      <c r="E3" s="6">
        <v>455.37</v>
      </c>
      <c r="F3" s="6">
        <v>282.86</v>
      </c>
      <c r="G3" s="6">
        <v>1692.84</v>
      </c>
      <c r="H3" s="6">
        <v>166.89</v>
      </c>
      <c r="I3" s="6">
        <v>2133.3200000000002</v>
      </c>
      <c r="J3" s="6">
        <v>115.57</v>
      </c>
      <c r="K3" s="6">
        <v>31.77</v>
      </c>
      <c r="L3" s="6">
        <v>12.91</v>
      </c>
      <c r="M3" s="6">
        <v>4753.63</v>
      </c>
      <c r="N3" s="6">
        <v>58.92</v>
      </c>
      <c r="O3" s="6">
        <v>129.34</v>
      </c>
      <c r="P3" s="6">
        <v>15.2</v>
      </c>
      <c r="Q3" s="6">
        <v>43.56</v>
      </c>
      <c r="R3" s="6">
        <v>7.77</v>
      </c>
      <c r="S3" s="6">
        <v>58.81</v>
      </c>
      <c r="T3" s="6">
        <v>24.03</v>
      </c>
      <c r="U3" s="6">
        <v>26867.759999999998</v>
      </c>
      <c r="V3" s="6">
        <v>147.21</v>
      </c>
      <c r="W3" s="5" t="s">
        <v>68</v>
      </c>
      <c r="X3" s="6">
        <v>79.959999999999994</v>
      </c>
      <c r="Y3" s="6">
        <v>26.77</v>
      </c>
      <c r="Z3" s="6">
        <v>12.6</v>
      </c>
      <c r="AA3" s="6">
        <v>13.72</v>
      </c>
      <c r="AB3" s="6">
        <v>7.45</v>
      </c>
      <c r="AC3" s="6">
        <v>251.49</v>
      </c>
      <c r="AD3" s="6">
        <v>8.4600000000000009</v>
      </c>
      <c r="AE3" s="6">
        <v>28.56</v>
      </c>
      <c r="AF3" s="6">
        <v>3.99</v>
      </c>
      <c r="AG3" s="5" t="s">
        <v>68</v>
      </c>
      <c r="AH3" s="6">
        <v>2.2000000000000002</v>
      </c>
      <c r="AI3" s="6">
        <v>167.32</v>
      </c>
      <c r="AJ3" s="6">
        <v>2.99</v>
      </c>
      <c r="AK3" s="6">
        <v>123.14</v>
      </c>
      <c r="AL3" s="6">
        <v>2.2999999999999998</v>
      </c>
      <c r="AM3" s="6">
        <v>282.86</v>
      </c>
      <c r="AN3" s="6">
        <v>3.37</v>
      </c>
      <c r="AO3" s="6">
        <v>7.31</v>
      </c>
      <c r="AP3" s="6">
        <v>1.69</v>
      </c>
      <c r="AQ3" s="5" t="s">
        <v>68</v>
      </c>
      <c r="AR3" s="6">
        <v>4.45</v>
      </c>
      <c r="AS3" s="5" t="s">
        <v>68</v>
      </c>
      <c r="AT3" s="6">
        <v>4.2300000000000004</v>
      </c>
      <c r="AU3" s="5" t="s">
        <v>68</v>
      </c>
      <c r="AV3" s="6">
        <v>6.14</v>
      </c>
      <c r="AW3" s="5" t="s">
        <v>68</v>
      </c>
      <c r="AX3" s="6">
        <v>4.53</v>
      </c>
      <c r="AY3" s="5" t="s">
        <v>68</v>
      </c>
      <c r="AZ3" s="6">
        <v>6.86</v>
      </c>
      <c r="BA3" s="5" t="s">
        <v>68</v>
      </c>
      <c r="BB3" s="6">
        <v>13.92</v>
      </c>
      <c r="BC3" s="5" t="s">
        <v>68</v>
      </c>
      <c r="BD3" s="6">
        <v>4.57</v>
      </c>
      <c r="BE3" s="6">
        <v>80.86</v>
      </c>
      <c r="BF3" s="6">
        <v>14.36</v>
      </c>
      <c r="BG3" s="5" t="s">
        <v>68</v>
      </c>
      <c r="BH3" s="6">
        <v>22.53</v>
      </c>
      <c r="BI3" s="6">
        <v>5.19</v>
      </c>
      <c r="BJ3" s="6">
        <v>2.34</v>
      </c>
      <c r="BK3" s="5" t="s">
        <v>68</v>
      </c>
      <c r="BL3" s="6">
        <v>5.08</v>
      </c>
      <c r="BM3" s="6">
        <v>94.57</v>
      </c>
      <c r="BN3" s="6">
        <v>4.5999999999999996</v>
      </c>
      <c r="BO3" s="6">
        <v>17.88</v>
      </c>
      <c r="BP3" s="6">
        <v>2.27</v>
      </c>
      <c r="BQ3" s="5" t="s">
        <v>68</v>
      </c>
      <c r="BR3" s="6">
        <v>4.8099999999999996</v>
      </c>
    </row>
    <row r="4" spans="1:70">
      <c r="A4" s="5">
        <v>14</v>
      </c>
      <c r="B4" s="5">
        <f t="shared" si="0"/>
        <v>1783.6127787307032</v>
      </c>
      <c r="C4" s="6">
        <v>19767.11</v>
      </c>
      <c r="D4" s="6">
        <v>188.59</v>
      </c>
      <c r="E4" s="6">
        <v>578.82000000000005</v>
      </c>
      <c r="F4" s="6">
        <v>291.92</v>
      </c>
      <c r="G4" s="6">
        <v>2576.69</v>
      </c>
      <c r="H4" s="6">
        <v>190.64</v>
      </c>
      <c r="I4" s="6">
        <v>2989.02</v>
      </c>
      <c r="J4" s="6">
        <v>109.32</v>
      </c>
      <c r="K4" s="6">
        <v>47.41</v>
      </c>
      <c r="L4" s="6">
        <v>13.34</v>
      </c>
      <c r="M4" s="6">
        <v>4381.24</v>
      </c>
      <c r="N4" s="6">
        <v>56.79</v>
      </c>
      <c r="O4" s="6">
        <v>151.01</v>
      </c>
      <c r="P4" s="6">
        <v>14.99</v>
      </c>
      <c r="Q4" s="6">
        <v>51.4</v>
      </c>
      <c r="R4" s="6">
        <v>7.77</v>
      </c>
      <c r="S4" s="6">
        <v>59.81</v>
      </c>
      <c r="T4" s="6">
        <v>24.55</v>
      </c>
      <c r="U4" s="6">
        <v>30837.67</v>
      </c>
      <c r="V4" s="6">
        <v>160.15</v>
      </c>
      <c r="W4" s="5" t="s">
        <v>68</v>
      </c>
      <c r="X4" s="6">
        <v>86.84</v>
      </c>
      <c r="Y4" s="6">
        <v>27.14</v>
      </c>
      <c r="Z4" s="6">
        <v>13</v>
      </c>
      <c r="AA4" s="6">
        <v>18.77</v>
      </c>
      <c r="AB4" s="6">
        <v>7.78</v>
      </c>
      <c r="AC4" s="6">
        <v>318.56</v>
      </c>
      <c r="AD4" s="6">
        <v>9.5299999999999994</v>
      </c>
      <c r="AE4" s="6">
        <v>43.15</v>
      </c>
      <c r="AF4" s="6">
        <v>4.5999999999999996</v>
      </c>
      <c r="AG4" s="5" t="s">
        <v>68</v>
      </c>
      <c r="AH4" s="6">
        <v>2.33</v>
      </c>
      <c r="AI4" s="6">
        <v>196.69</v>
      </c>
      <c r="AJ4" s="6">
        <v>3.27</v>
      </c>
      <c r="AK4" s="6">
        <v>143.03</v>
      </c>
      <c r="AL4" s="6">
        <v>2.5</v>
      </c>
      <c r="AM4" s="6">
        <v>267.43</v>
      </c>
      <c r="AN4" s="6">
        <v>3.37</v>
      </c>
      <c r="AO4" s="6">
        <v>9.27</v>
      </c>
      <c r="AP4" s="6">
        <v>1.73</v>
      </c>
      <c r="AQ4" s="5" t="s">
        <v>68</v>
      </c>
      <c r="AR4" s="6">
        <v>4.49</v>
      </c>
      <c r="AS4" s="5" t="s">
        <v>68</v>
      </c>
      <c r="AT4" s="6">
        <v>4.2699999999999996</v>
      </c>
      <c r="AU4" s="5" t="s">
        <v>68</v>
      </c>
      <c r="AV4" s="6">
        <v>6.21</v>
      </c>
      <c r="AW4" s="5" t="s">
        <v>68</v>
      </c>
      <c r="AX4" s="6">
        <v>4.53</v>
      </c>
      <c r="AY4" s="5" t="s">
        <v>68</v>
      </c>
      <c r="AZ4" s="6">
        <v>6.89</v>
      </c>
      <c r="BA4" s="5" t="s">
        <v>68</v>
      </c>
      <c r="BB4" s="6">
        <v>13.91</v>
      </c>
      <c r="BC4" s="5" t="s">
        <v>68</v>
      </c>
      <c r="BD4" s="6">
        <v>4.6100000000000003</v>
      </c>
      <c r="BE4" s="6">
        <v>40.409999999999997</v>
      </c>
      <c r="BF4" s="6">
        <v>14.41</v>
      </c>
      <c r="BG4" s="5" t="s">
        <v>68</v>
      </c>
      <c r="BH4" s="6">
        <v>23.61</v>
      </c>
      <c r="BI4" s="6">
        <v>6.86</v>
      </c>
      <c r="BJ4" s="6">
        <v>2.4900000000000002</v>
      </c>
      <c r="BK4" s="5" t="s">
        <v>68</v>
      </c>
      <c r="BL4" s="6">
        <v>5.28</v>
      </c>
      <c r="BM4" s="6">
        <v>120.82</v>
      </c>
      <c r="BN4" s="6">
        <v>5.2</v>
      </c>
      <c r="BO4" s="6">
        <v>21.3</v>
      </c>
      <c r="BP4" s="6">
        <v>2.4700000000000002</v>
      </c>
      <c r="BQ4" s="5" t="s">
        <v>68</v>
      </c>
      <c r="BR4" s="6">
        <v>5.09</v>
      </c>
    </row>
    <row r="5" spans="1:70">
      <c r="A5" s="5">
        <v>18</v>
      </c>
      <c r="B5" s="5">
        <f t="shared" si="0"/>
        <v>1715.0021440823327</v>
      </c>
      <c r="C5" s="6">
        <v>20125.099999999999</v>
      </c>
      <c r="D5" s="6">
        <v>192.27</v>
      </c>
      <c r="E5" s="5" t="s">
        <v>68</v>
      </c>
      <c r="F5" s="6">
        <v>424.35</v>
      </c>
      <c r="G5" s="6">
        <v>2583.06</v>
      </c>
      <c r="H5" s="6">
        <v>192.38</v>
      </c>
      <c r="I5" s="6">
        <v>3157.52</v>
      </c>
      <c r="J5" s="6">
        <v>112.95</v>
      </c>
      <c r="K5" s="6">
        <v>38.35</v>
      </c>
      <c r="L5" s="6">
        <v>13.61</v>
      </c>
      <c r="M5" s="6">
        <v>4508.5200000000004</v>
      </c>
      <c r="N5" s="6">
        <v>58.02</v>
      </c>
      <c r="O5" s="6">
        <v>141.97</v>
      </c>
      <c r="P5" s="6">
        <v>15.19</v>
      </c>
      <c r="Q5" s="6">
        <v>52.95</v>
      </c>
      <c r="R5" s="6">
        <v>7.91</v>
      </c>
      <c r="S5" s="6">
        <v>42.86</v>
      </c>
      <c r="T5" s="6">
        <v>23.59</v>
      </c>
      <c r="U5" s="6">
        <v>26046.959999999999</v>
      </c>
      <c r="V5" s="6">
        <v>145.41</v>
      </c>
      <c r="W5" s="5" t="s">
        <v>68</v>
      </c>
      <c r="X5" s="6">
        <v>78.22</v>
      </c>
      <c r="Y5" s="6">
        <v>35.450000000000003</v>
      </c>
      <c r="Z5" s="6">
        <v>12.69</v>
      </c>
      <c r="AA5" s="6">
        <v>22.91</v>
      </c>
      <c r="AB5" s="6">
        <v>7.69</v>
      </c>
      <c r="AC5" s="6">
        <v>345.01</v>
      </c>
      <c r="AD5" s="6">
        <v>9.73</v>
      </c>
      <c r="AE5" s="6">
        <v>26.11</v>
      </c>
      <c r="AF5" s="6">
        <v>4.18</v>
      </c>
      <c r="AG5" s="5" t="s">
        <v>68</v>
      </c>
      <c r="AH5" s="6">
        <v>2.25</v>
      </c>
      <c r="AI5" s="6">
        <v>196.79</v>
      </c>
      <c r="AJ5" s="6">
        <v>3.23</v>
      </c>
      <c r="AK5" s="6">
        <v>134.59</v>
      </c>
      <c r="AL5" s="6">
        <v>2.4</v>
      </c>
      <c r="AM5" s="6">
        <v>256.22000000000003</v>
      </c>
      <c r="AN5" s="6">
        <v>3.26</v>
      </c>
      <c r="AO5" s="6">
        <v>7.24</v>
      </c>
      <c r="AP5" s="6">
        <v>1.68</v>
      </c>
      <c r="AQ5" s="5" t="s">
        <v>68</v>
      </c>
      <c r="AR5" s="6">
        <v>4.41</v>
      </c>
      <c r="AS5" s="5" t="s">
        <v>68</v>
      </c>
      <c r="AT5" s="6">
        <v>4.18</v>
      </c>
      <c r="AU5" s="5" t="s">
        <v>68</v>
      </c>
      <c r="AV5" s="6">
        <v>6.04</v>
      </c>
      <c r="AW5" s="5" t="s">
        <v>68</v>
      </c>
      <c r="AX5" s="6">
        <v>4.46</v>
      </c>
      <c r="AY5" s="5" t="s">
        <v>68</v>
      </c>
      <c r="AZ5" s="6">
        <v>6.84</v>
      </c>
      <c r="BA5" s="5" t="s">
        <v>68</v>
      </c>
      <c r="BB5" s="6">
        <v>13.73</v>
      </c>
      <c r="BC5" s="5" t="s">
        <v>68</v>
      </c>
      <c r="BD5" s="6">
        <v>4.55</v>
      </c>
      <c r="BE5" s="6">
        <v>95.7</v>
      </c>
      <c r="BF5" s="6">
        <v>14.35</v>
      </c>
      <c r="BG5" s="5" t="s">
        <v>68</v>
      </c>
      <c r="BH5" s="6">
        <v>23.16</v>
      </c>
      <c r="BI5" s="6">
        <v>8.6199999999999992</v>
      </c>
      <c r="BJ5" s="6">
        <v>2.48</v>
      </c>
      <c r="BK5" s="5" t="s">
        <v>68</v>
      </c>
      <c r="BL5" s="6">
        <v>5.08</v>
      </c>
      <c r="BM5" s="6">
        <v>109.27</v>
      </c>
      <c r="BN5" s="6">
        <v>4.91</v>
      </c>
      <c r="BO5" s="6">
        <v>22.2</v>
      </c>
      <c r="BP5" s="6">
        <v>2.4300000000000002</v>
      </c>
      <c r="BQ5" s="5" t="s">
        <v>68</v>
      </c>
      <c r="BR5" s="6">
        <v>5.04</v>
      </c>
    </row>
    <row r="6" spans="1:70">
      <c r="A6" s="5">
        <v>22</v>
      </c>
      <c r="B6" s="5">
        <f t="shared" si="0"/>
        <v>1646.3915094339623</v>
      </c>
      <c r="C6" s="6">
        <v>19826.54</v>
      </c>
      <c r="D6" s="6">
        <v>216.08</v>
      </c>
      <c r="E6" s="6">
        <v>833.66</v>
      </c>
      <c r="F6" s="6">
        <v>371.86</v>
      </c>
      <c r="G6" s="6">
        <v>2090.3000000000002</v>
      </c>
      <c r="H6" s="6">
        <v>209.68</v>
      </c>
      <c r="I6" s="6">
        <v>2798.36</v>
      </c>
      <c r="J6" s="6">
        <v>126.91</v>
      </c>
      <c r="K6" s="6">
        <v>39.03</v>
      </c>
      <c r="L6" s="6">
        <v>15.43</v>
      </c>
      <c r="M6" s="6">
        <v>4481.8</v>
      </c>
      <c r="N6" s="6">
        <v>66.09</v>
      </c>
      <c r="O6" s="6">
        <v>146.88</v>
      </c>
      <c r="P6" s="6">
        <v>17.420000000000002</v>
      </c>
      <c r="Q6" s="6">
        <v>48.05</v>
      </c>
      <c r="R6" s="6">
        <v>9.1</v>
      </c>
      <c r="S6" s="6">
        <v>113.81</v>
      </c>
      <c r="T6" s="6">
        <v>27.87</v>
      </c>
      <c r="U6" s="6">
        <v>48616.71</v>
      </c>
      <c r="V6" s="6">
        <v>206.62</v>
      </c>
      <c r="W6" s="5" t="s">
        <v>68</v>
      </c>
      <c r="X6" s="6">
        <v>110.85</v>
      </c>
      <c r="Y6" s="6">
        <v>40.450000000000003</v>
      </c>
      <c r="Z6" s="6">
        <v>13.77</v>
      </c>
      <c r="AA6" s="6">
        <v>11.92</v>
      </c>
      <c r="AB6" s="6">
        <v>7.93</v>
      </c>
      <c r="AC6" s="6">
        <v>392.42</v>
      </c>
      <c r="AD6" s="6">
        <v>10.73</v>
      </c>
      <c r="AE6" s="6">
        <v>51.7</v>
      </c>
      <c r="AF6" s="6">
        <v>5.16</v>
      </c>
      <c r="AG6" s="5" t="s">
        <v>68</v>
      </c>
      <c r="AH6" s="6">
        <v>2.4500000000000002</v>
      </c>
      <c r="AI6" s="6">
        <v>181.51</v>
      </c>
      <c r="AJ6" s="6">
        <v>3.25</v>
      </c>
      <c r="AK6" s="6">
        <v>130.87</v>
      </c>
      <c r="AL6" s="6">
        <v>2.4700000000000002</v>
      </c>
      <c r="AM6" s="6">
        <v>273.08</v>
      </c>
      <c r="AN6" s="6">
        <v>3.49</v>
      </c>
      <c r="AO6" s="6">
        <v>9</v>
      </c>
      <c r="AP6" s="6">
        <v>1.78</v>
      </c>
      <c r="AQ6" s="5" t="s">
        <v>68</v>
      </c>
      <c r="AR6" s="6">
        <v>4.72</v>
      </c>
      <c r="AS6" s="5" t="s">
        <v>68</v>
      </c>
      <c r="AT6" s="6">
        <v>4.51</v>
      </c>
      <c r="AU6" s="5" t="s">
        <v>68</v>
      </c>
      <c r="AV6" s="6">
        <v>6.47</v>
      </c>
      <c r="AW6" s="5" t="s">
        <v>68</v>
      </c>
      <c r="AX6" s="6">
        <v>4.88</v>
      </c>
      <c r="AY6" s="5" t="s">
        <v>68</v>
      </c>
      <c r="AZ6" s="6">
        <v>7.3</v>
      </c>
      <c r="BA6" s="5" t="s">
        <v>68</v>
      </c>
      <c r="BB6" s="6">
        <v>14.81</v>
      </c>
      <c r="BC6" s="5" t="s">
        <v>68</v>
      </c>
      <c r="BD6" s="6">
        <v>4.8899999999999997</v>
      </c>
      <c r="BE6" s="6">
        <v>149.29</v>
      </c>
      <c r="BF6" s="6">
        <v>15.47</v>
      </c>
      <c r="BG6" s="5" t="s">
        <v>68</v>
      </c>
      <c r="BH6" s="6">
        <v>24.01</v>
      </c>
      <c r="BI6" s="6">
        <v>7.13</v>
      </c>
      <c r="BJ6" s="6">
        <v>2.61</v>
      </c>
      <c r="BK6" s="5" t="s">
        <v>68</v>
      </c>
      <c r="BL6" s="6">
        <v>5.4</v>
      </c>
      <c r="BM6" s="6">
        <v>146.5</v>
      </c>
      <c r="BN6" s="6">
        <v>5.82</v>
      </c>
      <c r="BO6" s="6">
        <v>17.82</v>
      </c>
      <c r="BP6" s="6">
        <v>2.54</v>
      </c>
      <c r="BQ6" s="5" t="s">
        <v>68</v>
      </c>
      <c r="BR6" s="6">
        <v>5.08</v>
      </c>
    </row>
    <row r="7" spans="1:70">
      <c r="A7" s="5">
        <v>30</v>
      </c>
      <c r="B7" s="5">
        <f t="shared" si="0"/>
        <v>1509.1702401372213</v>
      </c>
      <c r="C7" s="6">
        <v>20651.32</v>
      </c>
      <c r="D7" s="6">
        <v>182.56</v>
      </c>
      <c r="E7" s="6">
        <v>457.17</v>
      </c>
      <c r="F7" s="6">
        <v>258.76</v>
      </c>
      <c r="G7" s="6">
        <v>2425.7399999999998</v>
      </c>
      <c r="H7" s="6">
        <v>174.92</v>
      </c>
      <c r="I7" s="6">
        <v>2278.4699999999998</v>
      </c>
      <c r="J7" s="6">
        <v>109.12</v>
      </c>
      <c r="K7" s="6">
        <v>20.87</v>
      </c>
      <c r="L7" s="6">
        <v>12.05</v>
      </c>
      <c r="M7" s="6">
        <v>4595.17</v>
      </c>
      <c r="N7" s="6">
        <v>54.59</v>
      </c>
      <c r="O7" s="6">
        <v>146.4</v>
      </c>
      <c r="P7" s="6">
        <v>14.27</v>
      </c>
      <c r="Q7" s="6">
        <v>52.47</v>
      </c>
      <c r="R7" s="6">
        <v>7.33</v>
      </c>
      <c r="S7" s="6">
        <v>49.3</v>
      </c>
      <c r="T7" s="6">
        <v>23.23</v>
      </c>
      <c r="U7" s="6">
        <v>20973.439999999999</v>
      </c>
      <c r="V7" s="6">
        <v>129.63999999999999</v>
      </c>
      <c r="W7" s="5" t="s">
        <v>68</v>
      </c>
      <c r="X7" s="6">
        <v>70.59</v>
      </c>
      <c r="Y7" s="6">
        <v>25.35</v>
      </c>
      <c r="Z7" s="6">
        <v>12.42</v>
      </c>
      <c r="AA7" s="6">
        <v>24.26</v>
      </c>
      <c r="AB7" s="6">
        <v>7.62</v>
      </c>
      <c r="AC7" s="6">
        <v>409.04</v>
      </c>
      <c r="AD7" s="6">
        <v>10.39</v>
      </c>
      <c r="AE7" s="6">
        <v>22.5</v>
      </c>
      <c r="AF7" s="6">
        <v>4.62</v>
      </c>
      <c r="AG7" s="5" t="s">
        <v>68</v>
      </c>
      <c r="AH7" s="6">
        <v>2.23</v>
      </c>
      <c r="AI7" s="6">
        <v>173.91</v>
      </c>
      <c r="AJ7" s="6">
        <v>3.04</v>
      </c>
      <c r="AK7" s="6">
        <v>138.21</v>
      </c>
      <c r="AL7" s="6">
        <v>2.41</v>
      </c>
      <c r="AM7" s="6">
        <v>258.5</v>
      </c>
      <c r="AN7" s="6">
        <v>3.25</v>
      </c>
      <c r="AO7" s="6">
        <v>5.57</v>
      </c>
      <c r="AP7" s="6">
        <v>1.65</v>
      </c>
      <c r="AQ7" s="5" t="s">
        <v>68</v>
      </c>
      <c r="AR7" s="6">
        <v>4.5</v>
      </c>
      <c r="AS7" s="5" t="s">
        <v>68</v>
      </c>
      <c r="AT7" s="6">
        <v>4.2</v>
      </c>
      <c r="AU7" s="5" t="s">
        <v>68</v>
      </c>
      <c r="AV7" s="6">
        <v>6.07</v>
      </c>
      <c r="AW7" s="5" t="s">
        <v>68</v>
      </c>
      <c r="AX7" s="6">
        <v>4.54</v>
      </c>
      <c r="AY7" s="5" t="s">
        <v>68</v>
      </c>
      <c r="AZ7" s="6">
        <v>6.88</v>
      </c>
      <c r="BA7" s="5" t="s">
        <v>68</v>
      </c>
      <c r="BB7" s="6">
        <v>13.81</v>
      </c>
      <c r="BC7" s="5" t="s">
        <v>68</v>
      </c>
      <c r="BD7" s="6">
        <v>4.57</v>
      </c>
      <c r="BE7" s="6">
        <v>108.37</v>
      </c>
      <c r="BF7" s="6">
        <v>14.44</v>
      </c>
      <c r="BG7" s="5" t="s">
        <v>68</v>
      </c>
      <c r="BH7" s="6">
        <v>22.72</v>
      </c>
      <c r="BI7" s="6">
        <v>4.9000000000000004</v>
      </c>
      <c r="BJ7" s="6">
        <v>2.35</v>
      </c>
      <c r="BK7" s="5" t="s">
        <v>68</v>
      </c>
      <c r="BL7" s="6">
        <v>5.01</v>
      </c>
      <c r="BM7" s="6">
        <v>150.94</v>
      </c>
      <c r="BN7" s="6">
        <v>5.59</v>
      </c>
      <c r="BO7" s="6">
        <v>16.04</v>
      </c>
      <c r="BP7" s="6">
        <v>2.31</v>
      </c>
      <c r="BQ7" s="5" t="s">
        <v>68</v>
      </c>
      <c r="BR7" s="6">
        <v>4.8899999999999997</v>
      </c>
    </row>
    <row r="8" spans="1:70">
      <c r="A8" s="5">
        <v>42</v>
      </c>
      <c r="B8" s="5">
        <f t="shared" si="0"/>
        <v>1303.3383361921096</v>
      </c>
      <c r="C8" s="6">
        <v>15965.34</v>
      </c>
      <c r="D8" s="6">
        <v>159.72999999999999</v>
      </c>
      <c r="E8" s="5" t="s">
        <v>68</v>
      </c>
      <c r="F8" s="6">
        <v>369.67</v>
      </c>
      <c r="G8" s="6">
        <v>14354.54</v>
      </c>
      <c r="H8" s="6">
        <v>369.45</v>
      </c>
      <c r="I8" s="6">
        <v>6457.98</v>
      </c>
      <c r="J8" s="6">
        <v>124.09</v>
      </c>
      <c r="K8" s="6">
        <v>36.44</v>
      </c>
      <c r="L8" s="6">
        <v>16.91</v>
      </c>
      <c r="M8" s="6">
        <v>3485.38</v>
      </c>
      <c r="N8" s="6">
        <v>47.58</v>
      </c>
      <c r="O8" s="6">
        <v>97.67</v>
      </c>
      <c r="P8" s="6">
        <v>12.43</v>
      </c>
      <c r="Q8" s="6">
        <v>26.39</v>
      </c>
      <c r="R8" s="6">
        <v>6.83</v>
      </c>
      <c r="S8" s="6">
        <v>56.96</v>
      </c>
      <c r="T8" s="6">
        <v>23.06</v>
      </c>
      <c r="U8" s="6">
        <v>19043.79</v>
      </c>
      <c r="V8" s="6">
        <v>121.71</v>
      </c>
      <c r="W8" s="5" t="s">
        <v>68</v>
      </c>
      <c r="X8" s="6">
        <v>65.56</v>
      </c>
      <c r="Y8" s="6">
        <v>42.63</v>
      </c>
      <c r="Z8" s="6">
        <v>12.2</v>
      </c>
      <c r="AA8" s="6">
        <v>11.95</v>
      </c>
      <c r="AB8" s="6">
        <v>7.16</v>
      </c>
      <c r="AC8" s="6">
        <v>400.34</v>
      </c>
      <c r="AD8" s="6">
        <v>10.119999999999999</v>
      </c>
      <c r="AE8" s="6">
        <v>28.71</v>
      </c>
      <c r="AF8" s="6">
        <v>3.75</v>
      </c>
      <c r="AG8" s="5" t="s">
        <v>68</v>
      </c>
      <c r="AH8" s="6">
        <v>2.1</v>
      </c>
      <c r="AI8" s="6">
        <v>88.11</v>
      </c>
      <c r="AJ8" s="6">
        <v>2.2000000000000002</v>
      </c>
      <c r="AK8" s="6">
        <v>80.739999999999995</v>
      </c>
      <c r="AL8" s="6">
        <v>1.86</v>
      </c>
      <c r="AM8" s="6">
        <v>191.19</v>
      </c>
      <c r="AN8" s="6">
        <v>2.77</v>
      </c>
      <c r="AO8" s="6">
        <v>6.17</v>
      </c>
      <c r="AP8" s="6">
        <v>1.57</v>
      </c>
      <c r="AQ8" s="5" t="s">
        <v>68</v>
      </c>
      <c r="AR8" s="6">
        <v>4.5199999999999996</v>
      </c>
      <c r="AS8" s="5" t="s">
        <v>68</v>
      </c>
      <c r="AT8" s="6">
        <v>4.24</v>
      </c>
      <c r="AU8" s="5" t="s">
        <v>68</v>
      </c>
      <c r="AV8" s="6">
        <v>6.05</v>
      </c>
      <c r="AW8" s="5" t="s">
        <v>68</v>
      </c>
      <c r="AX8" s="6">
        <v>4.53</v>
      </c>
      <c r="AY8" s="5" t="s">
        <v>68</v>
      </c>
      <c r="AZ8" s="6">
        <v>6.94</v>
      </c>
      <c r="BA8" s="5" t="s">
        <v>68</v>
      </c>
      <c r="BB8" s="6">
        <v>13.98</v>
      </c>
      <c r="BC8" s="6">
        <v>6.85</v>
      </c>
      <c r="BD8" s="6">
        <v>3.08</v>
      </c>
      <c r="BE8" s="6">
        <v>141.61000000000001</v>
      </c>
      <c r="BF8" s="6">
        <v>14.36</v>
      </c>
      <c r="BG8" s="5" t="s">
        <v>68</v>
      </c>
      <c r="BH8" s="6">
        <v>22.1</v>
      </c>
      <c r="BI8" s="5" t="s">
        <v>68</v>
      </c>
      <c r="BJ8" s="6">
        <v>3.16</v>
      </c>
      <c r="BK8" s="5" t="s">
        <v>68</v>
      </c>
      <c r="BL8" s="6">
        <v>4.92</v>
      </c>
      <c r="BM8" s="6">
        <v>84.11</v>
      </c>
      <c r="BN8" s="6">
        <v>4.26</v>
      </c>
      <c r="BO8" s="6">
        <v>9.3699999999999992</v>
      </c>
      <c r="BP8" s="6">
        <v>1.9</v>
      </c>
      <c r="BQ8" s="5" t="s">
        <v>68</v>
      </c>
      <c r="BR8" s="6">
        <v>3.94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735F-1C23-4CBA-AAC8-88395771A220}">
  <dimension ref="A1:BS101"/>
  <sheetViews>
    <sheetView workbookViewId="0">
      <selection activeCell="B2" sqref="B2:B101"/>
    </sheetView>
  </sheetViews>
  <sheetFormatPr baseColWidth="10" defaultColWidth="9.1796875" defaultRowHeight="14.5"/>
  <cols>
    <col min="1" max="2" width="9.1796875" style="7"/>
    <col min="3" max="3" width="7.54296875" style="7" bestFit="1" customWidth="1"/>
    <col min="4" max="4" width="8.81640625" style="7" bestFit="1" customWidth="1"/>
    <col min="5" max="7" width="6.81640625" style="7" bestFit="1" customWidth="1"/>
    <col min="8" max="8" width="8.81640625" style="7" bestFit="1" customWidth="1"/>
    <col min="9" max="9" width="6.81640625" style="7" bestFit="1" customWidth="1"/>
    <col min="10" max="10" width="7.81640625" style="7" bestFit="1" customWidth="1"/>
    <col min="11" max="11" width="7.54296875" style="7" bestFit="1" customWidth="1"/>
    <col min="12" max="12" width="5.81640625" style="7" bestFit="1" customWidth="1"/>
    <col min="13" max="13" width="7.26953125" style="7" bestFit="1" customWidth="1"/>
    <col min="14" max="14" width="7.81640625" style="7" bestFit="1" customWidth="1"/>
    <col min="15" max="15" width="7" style="7" bestFit="1" customWidth="1"/>
    <col min="16" max="16" width="6.81640625" style="7" bestFit="1" customWidth="1"/>
    <col min="17" max="17" width="6.7265625" style="7" bestFit="1" customWidth="1"/>
    <col min="18" max="18" width="5.81640625" style="7" bestFit="1" customWidth="1"/>
    <col min="19" max="19" width="7.453125" style="7" bestFit="1" customWidth="1"/>
    <col min="20" max="20" width="7.81640625" style="7" bestFit="1" customWidth="1"/>
    <col min="21" max="21" width="8.453125" style="7" bestFit="1" customWidth="1"/>
    <col min="22" max="22" width="8.81640625" style="7" bestFit="1" customWidth="1"/>
    <col min="23" max="23" width="7.453125" style="7" bestFit="1" customWidth="1"/>
    <col min="24" max="24" width="7.81640625" style="7" bestFit="1" customWidth="1"/>
    <col min="25" max="25" width="7.7265625" style="7" bestFit="1" customWidth="1"/>
    <col min="26" max="26" width="7.81640625" style="7" bestFit="1" customWidth="1"/>
    <col min="27" max="27" width="7.26953125" style="7" bestFit="1" customWidth="1"/>
    <col min="28" max="28" width="7.81640625" style="7" bestFit="1" customWidth="1"/>
    <col min="29" max="29" width="7.7265625" style="7" bestFit="1" customWidth="1"/>
    <col min="30" max="30" width="6.81640625" style="7" bestFit="1" customWidth="1"/>
    <col min="31" max="31" width="7.54296875" style="7" bestFit="1" customWidth="1"/>
    <col min="32" max="32" width="5.81640625" style="7" bestFit="1" customWidth="1"/>
    <col min="33" max="33" width="7.54296875" style="7" bestFit="1" customWidth="1"/>
    <col min="34" max="34" width="6.81640625" style="7" bestFit="1" customWidth="1"/>
    <col min="35" max="35" width="7.453125" style="7" bestFit="1" customWidth="1"/>
    <col min="36" max="36" width="6.81640625" style="7" bestFit="1" customWidth="1"/>
    <col min="37" max="37" width="7.7265625" style="7" bestFit="1" customWidth="1"/>
    <col min="38" max="38" width="6.81640625" style="7" bestFit="1" customWidth="1"/>
    <col min="39" max="39" width="7.1796875" style="7" bestFit="1" customWidth="1"/>
    <col min="40" max="40" width="6.81640625" style="7" bestFit="1" customWidth="1"/>
    <col min="41" max="41" width="7.26953125" style="7" bestFit="1" customWidth="1"/>
    <col min="42" max="42" width="5.81640625" style="7" bestFit="1" customWidth="1"/>
    <col min="43" max="43" width="8.453125" style="7" bestFit="1" customWidth="1"/>
    <col min="44" max="44" width="5.26953125" style="7" bestFit="1" customWidth="1"/>
    <col min="45" max="45" width="7.7265625" style="7" bestFit="1" customWidth="1"/>
    <col min="46" max="46" width="5.26953125" style="7" bestFit="1" customWidth="1"/>
    <col min="47" max="47" width="7.54296875" style="7" bestFit="1" customWidth="1"/>
    <col min="48" max="48" width="5.26953125" style="7" bestFit="1" customWidth="1"/>
    <col min="49" max="49" width="7.7265625" style="7" bestFit="1" customWidth="1"/>
    <col min="50" max="50" width="5.26953125" style="7" bestFit="1" customWidth="1"/>
    <col min="51" max="51" width="7.54296875" style="7" bestFit="1" customWidth="1"/>
    <col min="52" max="52" width="5.81640625" style="7" bestFit="1" customWidth="1"/>
    <col min="53" max="53" width="7.54296875" style="7" bestFit="1" customWidth="1"/>
    <col min="54" max="54" width="5.81640625" style="7" bestFit="1" customWidth="1"/>
    <col min="55" max="55" width="7.54296875" style="7" bestFit="1" customWidth="1"/>
    <col min="56" max="56" width="5.81640625" style="7" bestFit="1" customWidth="1"/>
    <col min="57" max="57" width="7.453125" style="7" bestFit="1" customWidth="1"/>
    <col min="58" max="58" width="6.81640625" style="7" bestFit="1" customWidth="1"/>
    <col min="59" max="59" width="7.54296875" style="7" bestFit="1" customWidth="1"/>
    <col min="60" max="60" width="7.81640625" style="7" bestFit="1" customWidth="1"/>
    <col min="61" max="61" width="7.453125" style="7" bestFit="1" customWidth="1"/>
    <col min="62" max="62" width="5.81640625" style="7" bestFit="1" customWidth="1"/>
    <col min="63" max="63" width="7.81640625" style="7" bestFit="1" customWidth="1"/>
    <col min="64" max="64" width="6.81640625" style="7" bestFit="1" customWidth="1"/>
    <col min="65" max="65" width="7.7265625" style="7" bestFit="1" customWidth="1"/>
    <col min="66" max="66" width="6.81640625" style="7" bestFit="1" customWidth="1"/>
    <col min="67" max="67" width="7.7265625" style="7" bestFit="1" customWidth="1"/>
    <col min="68" max="68" width="6.81640625" style="7" bestFit="1" customWidth="1"/>
    <col min="69" max="69" width="7.54296875" style="7" bestFit="1" customWidth="1"/>
    <col min="70" max="71" width="6.81640625" style="7" bestFit="1" customWidth="1"/>
    <col min="72" max="16384" width="9.1796875" style="7"/>
  </cols>
  <sheetData>
    <row r="1" spans="1:71">
      <c r="A1" s="7" t="s">
        <v>69</v>
      </c>
      <c r="B1" s="12" t="s">
        <v>179</v>
      </c>
      <c r="C1" s="8" t="s">
        <v>70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35</v>
      </c>
      <c r="AN1" s="8" t="s">
        <v>36</v>
      </c>
      <c r="AO1" s="8" t="s">
        <v>37</v>
      </c>
      <c r="AP1" s="8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8" t="s">
        <v>44</v>
      </c>
      <c r="AW1" s="8" t="s">
        <v>45</v>
      </c>
      <c r="AX1" s="8" t="s">
        <v>46</v>
      </c>
      <c r="AY1" s="8" t="s">
        <v>47</v>
      </c>
      <c r="AZ1" s="8" t="s">
        <v>48</v>
      </c>
      <c r="BA1" s="8" t="s">
        <v>49</v>
      </c>
      <c r="BB1" s="8" t="s">
        <v>50</v>
      </c>
      <c r="BC1" s="8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8" t="s">
        <v>61</v>
      </c>
      <c r="BN1" s="8" t="s">
        <v>62</v>
      </c>
      <c r="BO1" s="8" t="s">
        <v>63</v>
      </c>
      <c r="BP1" s="8" t="s">
        <v>64</v>
      </c>
      <c r="BQ1" s="8" t="s">
        <v>65</v>
      </c>
      <c r="BR1" s="8" t="s">
        <v>66</v>
      </c>
      <c r="BS1" s="8" t="s">
        <v>67</v>
      </c>
    </row>
    <row r="2" spans="1:71">
      <c r="A2" s="7">
        <v>0</v>
      </c>
      <c r="B2" s="7">
        <f>2023.75-(A2/0.05)</f>
        <v>2023.75</v>
      </c>
      <c r="C2" s="9" t="s">
        <v>71</v>
      </c>
      <c r="D2" s="7">
        <v>15821.72</v>
      </c>
      <c r="E2" s="7">
        <v>152.56</v>
      </c>
      <c r="F2" s="7" t="s">
        <v>68</v>
      </c>
      <c r="G2" s="7">
        <v>336.38</v>
      </c>
      <c r="H2" s="7">
        <v>2578.7399999999998</v>
      </c>
      <c r="I2" s="7">
        <v>168.57</v>
      </c>
      <c r="J2" s="7">
        <v>2744.46</v>
      </c>
      <c r="K2" s="7">
        <v>109.7</v>
      </c>
      <c r="L2" s="7">
        <v>44.36</v>
      </c>
      <c r="M2" s="7">
        <v>12.64</v>
      </c>
      <c r="N2" s="7">
        <v>4071.5</v>
      </c>
      <c r="O2" s="7">
        <v>49.29</v>
      </c>
      <c r="P2" s="7">
        <v>99.23</v>
      </c>
      <c r="Q2" s="7">
        <v>12.74</v>
      </c>
      <c r="R2" s="7">
        <v>26.17</v>
      </c>
      <c r="S2" s="7">
        <v>6.78</v>
      </c>
      <c r="T2" s="7">
        <v>75.09</v>
      </c>
      <c r="U2" s="7">
        <v>23.1</v>
      </c>
      <c r="V2" s="7">
        <v>12903.1</v>
      </c>
      <c r="W2" s="7">
        <v>100.49</v>
      </c>
      <c r="X2" s="7" t="s">
        <v>68</v>
      </c>
      <c r="Y2" s="7">
        <v>55.3</v>
      </c>
      <c r="Z2" s="7">
        <v>41.08</v>
      </c>
      <c r="AA2" s="7">
        <v>11.97</v>
      </c>
      <c r="AB2" s="7">
        <v>17.37</v>
      </c>
      <c r="AC2" s="7">
        <v>7.11</v>
      </c>
      <c r="AD2" s="7">
        <v>102.31</v>
      </c>
      <c r="AE2" s="7">
        <v>5.87</v>
      </c>
      <c r="AF2" s="7">
        <v>19.41</v>
      </c>
      <c r="AG2" s="7">
        <v>3.58</v>
      </c>
      <c r="AH2" s="7" t="s">
        <v>68</v>
      </c>
      <c r="AI2" s="7">
        <v>2.12</v>
      </c>
      <c r="AJ2" s="7">
        <v>97.84</v>
      </c>
      <c r="AK2" s="7">
        <v>2.29</v>
      </c>
      <c r="AL2" s="7">
        <v>92.87</v>
      </c>
      <c r="AM2" s="7">
        <v>1.98</v>
      </c>
      <c r="AN2" s="7">
        <v>348.46</v>
      </c>
      <c r="AO2" s="7">
        <v>3.58</v>
      </c>
      <c r="AP2" s="7">
        <v>7.12</v>
      </c>
      <c r="AQ2" s="7">
        <v>1.69</v>
      </c>
      <c r="AR2" s="7" t="s">
        <v>68</v>
      </c>
      <c r="AS2" s="7">
        <v>4.42</v>
      </c>
      <c r="AT2" s="7" t="s">
        <v>68</v>
      </c>
      <c r="AU2" s="7">
        <v>4.16</v>
      </c>
      <c r="AV2" s="7" t="s">
        <v>68</v>
      </c>
      <c r="AW2" s="7">
        <v>5.98</v>
      </c>
      <c r="AX2" s="7">
        <v>6.44</v>
      </c>
      <c r="AY2" s="7">
        <v>2.98</v>
      </c>
      <c r="AZ2" s="7">
        <v>14.62</v>
      </c>
      <c r="BA2" s="7">
        <v>4.5999999999999996</v>
      </c>
      <c r="BB2" s="7">
        <v>30.87</v>
      </c>
      <c r="BC2" s="7">
        <v>9.24</v>
      </c>
      <c r="BD2" s="7">
        <v>24.43</v>
      </c>
      <c r="BE2" s="7">
        <v>3.04</v>
      </c>
      <c r="BF2" s="7">
        <v>276.82</v>
      </c>
      <c r="BG2" s="7">
        <v>14.52</v>
      </c>
      <c r="BH2" s="7" t="s">
        <v>68</v>
      </c>
      <c r="BI2" s="7">
        <v>21.67</v>
      </c>
      <c r="BJ2" s="7">
        <v>5.13</v>
      </c>
      <c r="BK2" s="7">
        <v>2.2400000000000002</v>
      </c>
      <c r="BL2" s="7" t="s">
        <v>68</v>
      </c>
      <c r="BM2" s="7">
        <v>4.83</v>
      </c>
      <c r="BN2" s="7">
        <v>81.56</v>
      </c>
      <c r="BO2" s="7">
        <v>4.21</v>
      </c>
      <c r="BP2" s="7">
        <v>10.9</v>
      </c>
      <c r="BQ2" s="7">
        <v>1.93</v>
      </c>
      <c r="BR2" s="7" t="s">
        <v>68</v>
      </c>
      <c r="BS2" s="7">
        <v>3.98</v>
      </c>
    </row>
    <row r="3" spans="1:71">
      <c r="A3" s="7">
        <v>1</v>
      </c>
      <c r="B3" s="7">
        <f t="shared" ref="B3:B66" si="0">2023.75-(A3/0.05)</f>
        <v>2003.75</v>
      </c>
      <c r="C3" s="9" t="s">
        <v>72</v>
      </c>
      <c r="D3" s="7">
        <v>15645.08</v>
      </c>
      <c r="E3" s="7">
        <v>160.97</v>
      </c>
      <c r="F3" s="7" t="s">
        <v>68</v>
      </c>
      <c r="G3" s="7">
        <v>356.65</v>
      </c>
      <c r="H3" s="7">
        <v>1758.19</v>
      </c>
      <c r="I3" s="7">
        <v>157.69999999999999</v>
      </c>
      <c r="J3" s="7">
        <v>817</v>
      </c>
      <c r="K3" s="7">
        <v>111.19</v>
      </c>
      <c r="L3" s="7">
        <v>56.29</v>
      </c>
      <c r="M3" s="7">
        <v>11.48</v>
      </c>
      <c r="N3" s="7">
        <v>3827.46</v>
      </c>
      <c r="O3" s="7">
        <v>50.66</v>
      </c>
      <c r="P3" s="7">
        <v>93.43</v>
      </c>
      <c r="Q3" s="7">
        <v>13.12</v>
      </c>
      <c r="R3" s="7">
        <v>20.81</v>
      </c>
      <c r="S3" s="7">
        <v>7.12</v>
      </c>
      <c r="T3" s="7">
        <v>84.5</v>
      </c>
      <c r="U3" s="7">
        <v>23.88</v>
      </c>
      <c r="V3" s="7">
        <v>17996.77</v>
      </c>
      <c r="W3" s="7">
        <v>119.7</v>
      </c>
      <c r="X3" s="7" t="s">
        <v>68</v>
      </c>
      <c r="Y3" s="7">
        <v>65.319999999999993</v>
      </c>
      <c r="Z3" s="7">
        <v>38.380000000000003</v>
      </c>
      <c r="AA3" s="7">
        <v>12.22</v>
      </c>
      <c r="AB3" s="7">
        <v>11.64</v>
      </c>
      <c r="AC3" s="7">
        <v>7.14</v>
      </c>
      <c r="AD3" s="7">
        <v>59.96</v>
      </c>
      <c r="AE3" s="7">
        <v>5.03</v>
      </c>
      <c r="AF3" s="7">
        <v>30.54</v>
      </c>
      <c r="AG3" s="7">
        <v>3.47</v>
      </c>
      <c r="AH3" s="7" t="s">
        <v>68</v>
      </c>
      <c r="AI3" s="7">
        <v>2.13</v>
      </c>
      <c r="AJ3" s="7">
        <v>97.95</v>
      </c>
      <c r="AK3" s="7">
        <v>2.3199999999999998</v>
      </c>
      <c r="AL3" s="7">
        <v>84.05</v>
      </c>
      <c r="AM3" s="7">
        <v>1.92</v>
      </c>
      <c r="AN3" s="7">
        <v>316.89999999999998</v>
      </c>
      <c r="AO3" s="7">
        <v>3.47</v>
      </c>
      <c r="AP3" s="7">
        <v>12.67</v>
      </c>
      <c r="AQ3" s="7">
        <v>1.73</v>
      </c>
      <c r="AR3" s="7" t="s">
        <v>68</v>
      </c>
      <c r="AS3" s="7">
        <v>4.51</v>
      </c>
      <c r="AT3" s="7" t="s">
        <v>68</v>
      </c>
      <c r="AU3" s="7">
        <v>4.13</v>
      </c>
      <c r="AV3" s="7" t="s">
        <v>68</v>
      </c>
      <c r="AW3" s="7">
        <v>5.98</v>
      </c>
      <c r="AX3" s="7">
        <v>5.7</v>
      </c>
      <c r="AY3" s="7">
        <v>3.01</v>
      </c>
      <c r="AZ3" s="7">
        <v>7.16</v>
      </c>
      <c r="BA3" s="7">
        <v>4.5999999999999996</v>
      </c>
      <c r="BB3" s="7" t="s">
        <v>68</v>
      </c>
      <c r="BC3" s="7">
        <v>13.85</v>
      </c>
      <c r="BD3" s="7">
        <v>11.42</v>
      </c>
      <c r="BE3" s="7">
        <v>3.04</v>
      </c>
      <c r="BF3" s="7">
        <v>191.01</v>
      </c>
      <c r="BG3" s="7">
        <v>14.32</v>
      </c>
      <c r="BH3" s="7" t="s">
        <v>68</v>
      </c>
      <c r="BI3" s="7">
        <v>21.53</v>
      </c>
      <c r="BJ3" s="7">
        <v>3.74</v>
      </c>
      <c r="BK3" s="7">
        <v>2.2200000000000002</v>
      </c>
      <c r="BL3" s="7" t="s">
        <v>68</v>
      </c>
      <c r="BM3" s="7">
        <v>4.91</v>
      </c>
      <c r="BN3" s="7">
        <v>60.68</v>
      </c>
      <c r="BO3" s="7">
        <v>3.79</v>
      </c>
      <c r="BP3" s="7">
        <v>10.55</v>
      </c>
      <c r="BQ3" s="7">
        <v>1.92</v>
      </c>
      <c r="BR3" s="7" t="s">
        <v>68</v>
      </c>
      <c r="BS3" s="7">
        <v>4</v>
      </c>
    </row>
    <row r="4" spans="1:71">
      <c r="A4" s="7">
        <v>2</v>
      </c>
      <c r="B4" s="7">
        <f t="shared" si="0"/>
        <v>1983.75</v>
      </c>
      <c r="C4" s="9" t="s">
        <v>73</v>
      </c>
      <c r="D4" s="7">
        <v>16672.759999999998</v>
      </c>
      <c r="E4" s="7">
        <v>161.85</v>
      </c>
      <c r="F4" s="7">
        <v>367.68</v>
      </c>
      <c r="G4" s="7">
        <v>242.51</v>
      </c>
      <c r="H4" s="7">
        <v>1783.93</v>
      </c>
      <c r="I4" s="7">
        <v>153.80000000000001</v>
      </c>
      <c r="J4" s="7" t="s">
        <v>68</v>
      </c>
      <c r="K4" s="7">
        <v>159.71</v>
      </c>
      <c r="L4" s="7">
        <v>60.7</v>
      </c>
      <c r="M4" s="7">
        <v>10.199999999999999</v>
      </c>
      <c r="N4" s="7">
        <v>3989.83</v>
      </c>
      <c r="O4" s="7">
        <v>50.23</v>
      </c>
      <c r="P4" s="7">
        <v>109.11</v>
      </c>
      <c r="Q4" s="7">
        <v>13.07</v>
      </c>
      <c r="R4" s="7">
        <v>27.58</v>
      </c>
      <c r="S4" s="7">
        <v>7.02</v>
      </c>
      <c r="T4" s="7">
        <v>59.59</v>
      </c>
      <c r="U4" s="7">
        <v>23.55</v>
      </c>
      <c r="V4" s="7">
        <v>15971.47</v>
      </c>
      <c r="W4" s="7">
        <v>114.91</v>
      </c>
      <c r="X4" s="7" t="s">
        <v>68</v>
      </c>
      <c r="Y4" s="7">
        <v>62.91</v>
      </c>
      <c r="Z4" s="7">
        <v>36.549999999999997</v>
      </c>
      <c r="AA4" s="7">
        <v>12.37</v>
      </c>
      <c r="AB4" s="7">
        <v>12.6</v>
      </c>
      <c r="AC4" s="7">
        <v>7.27</v>
      </c>
      <c r="AD4" s="7">
        <v>59.81</v>
      </c>
      <c r="AE4" s="7">
        <v>5.13</v>
      </c>
      <c r="AF4" s="7">
        <v>21.5</v>
      </c>
      <c r="AG4" s="7">
        <v>3.16</v>
      </c>
      <c r="AH4" s="7" t="s">
        <v>68</v>
      </c>
      <c r="AI4" s="7">
        <v>2.15</v>
      </c>
      <c r="AJ4" s="7">
        <v>98.08</v>
      </c>
      <c r="AK4" s="7">
        <v>2.36</v>
      </c>
      <c r="AL4" s="7">
        <v>78.760000000000005</v>
      </c>
      <c r="AM4" s="7">
        <v>1.89</v>
      </c>
      <c r="AN4" s="7">
        <v>324.45</v>
      </c>
      <c r="AO4" s="7">
        <v>3.56</v>
      </c>
      <c r="AP4" s="7">
        <v>12.38</v>
      </c>
      <c r="AQ4" s="7">
        <v>1.77</v>
      </c>
      <c r="AR4" s="7" t="s">
        <v>68</v>
      </c>
      <c r="AS4" s="7">
        <v>4.3</v>
      </c>
      <c r="AT4" s="7" t="s">
        <v>68</v>
      </c>
      <c r="AU4" s="7">
        <v>4.0999999999999996</v>
      </c>
      <c r="AV4" s="7" t="s">
        <v>68</v>
      </c>
      <c r="AW4" s="7">
        <v>5.93</v>
      </c>
      <c r="AX4" s="7">
        <v>4.53</v>
      </c>
      <c r="AY4" s="7">
        <v>2.96</v>
      </c>
      <c r="AZ4" s="7" t="s">
        <v>68</v>
      </c>
      <c r="BA4" s="7">
        <v>6.78</v>
      </c>
      <c r="BB4" s="7" t="s">
        <v>68</v>
      </c>
      <c r="BC4" s="7">
        <v>13.68</v>
      </c>
      <c r="BD4" s="7">
        <v>11.15</v>
      </c>
      <c r="BE4" s="7">
        <v>3</v>
      </c>
      <c r="BF4" s="7">
        <v>165.37</v>
      </c>
      <c r="BG4" s="7">
        <v>14.01</v>
      </c>
      <c r="BH4" s="7" t="s">
        <v>68</v>
      </c>
      <c r="BI4" s="7">
        <v>22.19</v>
      </c>
      <c r="BJ4" s="7" t="s">
        <v>68</v>
      </c>
      <c r="BK4" s="7">
        <v>3.3</v>
      </c>
      <c r="BL4" s="7" t="s">
        <v>68</v>
      </c>
      <c r="BM4" s="7">
        <v>4.9400000000000004</v>
      </c>
      <c r="BN4" s="7">
        <v>47.31</v>
      </c>
      <c r="BO4" s="7">
        <v>3.52</v>
      </c>
      <c r="BP4" s="7">
        <v>12.89</v>
      </c>
      <c r="BQ4" s="7">
        <v>1.98</v>
      </c>
      <c r="BR4" s="7" t="s">
        <v>68</v>
      </c>
      <c r="BS4" s="7">
        <v>4.1100000000000003</v>
      </c>
    </row>
    <row r="5" spans="1:71">
      <c r="A5" s="7">
        <v>3</v>
      </c>
      <c r="B5" s="7">
        <f t="shared" si="0"/>
        <v>1963.75</v>
      </c>
      <c r="C5" s="9" t="s">
        <v>74</v>
      </c>
      <c r="D5" s="7">
        <v>16263.6</v>
      </c>
      <c r="E5" s="7">
        <v>151.05000000000001</v>
      </c>
      <c r="F5" s="7" t="s">
        <v>68</v>
      </c>
      <c r="G5" s="7">
        <v>314.08</v>
      </c>
      <c r="H5" s="7">
        <v>1683.68</v>
      </c>
      <c r="I5" s="7">
        <v>140.58000000000001</v>
      </c>
      <c r="J5" s="7">
        <v>275.95</v>
      </c>
      <c r="K5" s="7">
        <v>101.14</v>
      </c>
      <c r="L5" s="7">
        <v>35.08</v>
      </c>
      <c r="M5" s="7">
        <v>9.32</v>
      </c>
      <c r="N5" s="7">
        <v>3830.54</v>
      </c>
      <c r="O5" s="7">
        <v>46.4</v>
      </c>
      <c r="P5" s="7">
        <v>95.78</v>
      </c>
      <c r="Q5" s="7">
        <v>12.01</v>
      </c>
      <c r="R5" s="7">
        <v>23.04</v>
      </c>
      <c r="S5" s="7">
        <v>6.53</v>
      </c>
      <c r="T5" s="7">
        <v>95.84</v>
      </c>
      <c r="U5" s="7">
        <v>23.38</v>
      </c>
      <c r="V5" s="7">
        <v>11579.99</v>
      </c>
      <c r="W5" s="7">
        <v>95.31</v>
      </c>
      <c r="X5" s="7" t="s">
        <v>68</v>
      </c>
      <c r="Y5" s="7">
        <v>52.38</v>
      </c>
      <c r="Z5" s="7">
        <v>41.63</v>
      </c>
      <c r="AA5" s="7">
        <v>11.93</v>
      </c>
      <c r="AB5" s="7">
        <v>12.43</v>
      </c>
      <c r="AC5" s="7">
        <v>6.99</v>
      </c>
      <c r="AD5" s="7">
        <v>49.04</v>
      </c>
      <c r="AE5" s="7">
        <v>4.7</v>
      </c>
      <c r="AF5" s="7">
        <v>15.75</v>
      </c>
      <c r="AG5" s="7">
        <v>2.92</v>
      </c>
      <c r="AH5" s="7" t="s">
        <v>68</v>
      </c>
      <c r="AI5" s="7">
        <v>2.06</v>
      </c>
      <c r="AJ5" s="7">
        <v>90.2</v>
      </c>
      <c r="AK5" s="7">
        <v>2.2200000000000002</v>
      </c>
      <c r="AL5" s="7">
        <v>73.33</v>
      </c>
      <c r="AM5" s="7">
        <v>1.78</v>
      </c>
      <c r="AN5" s="7">
        <v>334.35</v>
      </c>
      <c r="AO5" s="7">
        <v>3.49</v>
      </c>
      <c r="AP5" s="7">
        <v>10.3</v>
      </c>
      <c r="AQ5" s="7">
        <v>1.71</v>
      </c>
      <c r="AR5" s="7" t="s">
        <v>68</v>
      </c>
      <c r="AS5" s="7">
        <v>4.33</v>
      </c>
      <c r="AT5" s="7" t="s">
        <v>68</v>
      </c>
      <c r="AU5" s="7">
        <v>4.03</v>
      </c>
      <c r="AV5" s="7" t="s">
        <v>68</v>
      </c>
      <c r="AW5" s="7">
        <v>5.85</v>
      </c>
      <c r="AX5" s="7">
        <v>7.84</v>
      </c>
      <c r="AY5" s="7">
        <v>2.96</v>
      </c>
      <c r="AZ5" s="7">
        <v>9.08</v>
      </c>
      <c r="BA5" s="7">
        <v>4.51</v>
      </c>
      <c r="BB5" s="7">
        <v>31.14</v>
      </c>
      <c r="BC5" s="7">
        <v>9.15</v>
      </c>
      <c r="BD5" s="7">
        <v>18.96</v>
      </c>
      <c r="BE5" s="7">
        <v>2.99</v>
      </c>
      <c r="BF5" s="7">
        <v>196.88</v>
      </c>
      <c r="BG5" s="7">
        <v>14.01</v>
      </c>
      <c r="BH5" s="7" t="s">
        <v>68</v>
      </c>
      <c r="BI5" s="7">
        <v>21.09</v>
      </c>
      <c r="BJ5" s="7" t="s">
        <v>68</v>
      </c>
      <c r="BK5" s="7">
        <v>3.19</v>
      </c>
      <c r="BL5" s="7" t="s">
        <v>68</v>
      </c>
      <c r="BM5" s="7">
        <v>4.8</v>
      </c>
      <c r="BN5" s="7">
        <v>44.91</v>
      </c>
      <c r="BO5" s="7">
        <v>3.34</v>
      </c>
      <c r="BP5" s="7">
        <v>10.26</v>
      </c>
      <c r="BQ5" s="7">
        <v>1.83</v>
      </c>
      <c r="BR5" s="7" t="s">
        <v>68</v>
      </c>
      <c r="BS5" s="7">
        <v>3.99</v>
      </c>
    </row>
    <row r="6" spans="1:71">
      <c r="A6" s="7">
        <v>4</v>
      </c>
      <c r="B6" s="7">
        <f t="shared" si="0"/>
        <v>1943.75</v>
      </c>
      <c r="C6" s="9" t="s">
        <v>75</v>
      </c>
      <c r="D6" s="7">
        <v>17349.22</v>
      </c>
      <c r="E6" s="7">
        <v>157.43</v>
      </c>
      <c r="F6" s="7" t="s">
        <v>68</v>
      </c>
      <c r="G6" s="7">
        <v>324.07</v>
      </c>
      <c r="H6" s="7">
        <v>1798.71</v>
      </c>
      <c r="I6" s="7">
        <v>145.81</v>
      </c>
      <c r="J6" s="7" t="s">
        <v>68</v>
      </c>
      <c r="K6" s="7">
        <v>149.94999999999999</v>
      </c>
      <c r="L6" s="7">
        <v>36.58</v>
      </c>
      <c r="M6" s="7">
        <v>8.86</v>
      </c>
      <c r="N6" s="7">
        <v>4915.9799999999996</v>
      </c>
      <c r="O6" s="7">
        <v>51.93</v>
      </c>
      <c r="P6" s="7">
        <v>126.76</v>
      </c>
      <c r="Q6" s="7">
        <v>13.27</v>
      </c>
      <c r="R6" s="7">
        <v>24.37</v>
      </c>
      <c r="S6" s="7">
        <v>6.63</v>
      </c>
      <c r="T6" s="7">
        <v>75.459999999999994</v>
      </c>
      <c r="U6" s="7">
        <v>22.73</v>
      </c>
      <c r="V6" s="7">
        <v>12840.49</v>
      </c>
      <c r="W6" s="7">
        <v>99.23</v>
      </c>
      <c r="X6" s="7" t="s">
        <v>68</v>
      </c>
      <c r="Y6" s="7">
        <v>54.88</v>
      </c>
      <c r="Z6" s="7">
        <v>30.14</v>
      </c>
      <c r="AA6" s="7">
        <v>11.78</v>
      </c>
      <c r="AB6" s="7">
        <v>10.7</v>
      </c>
      <c r="AC6" s="7">
        <v>6.91</v>
      </c>
      <c r="AD6" s="7">
        <v>55.66</v>
      </c>
      <c r="AE6" s="7">
        <v>4.82</v>
      </c>
      <c r="AF6" s="7">
        <v>14.21</v>
      </c>
      <c r="AG6" s="7">
        <v>3.23</v>
      </c>
      <c r="AH6" s="7" t="s">
        <v>68</v>
      </c>
      <c r="AI6" s="7">
        <v>2.04</v>
      </c>
      <c r="AJ6" s="7">
        <v>103.65</v>
      </c>
      <c r="AK6" s="7">
        <v>2.35</v>
      </c>
      <c r="AL6" s="7">
        <v>83.73</v>
      </c>
      <c r="AM6" s="7">
        <v>1.87</v>
      </c>
      <c r="AN6" s="7">
        <v>424.96</v>
      </c>
      <c r="AO6" s="7">
        <v>3.86</v>
      </c>
      <c r="AP6" s="7">
        <v>8.5399999999999991</v>
      </c>
      <c r="AQ6" s="7">
        <v>1.75</v>
      </c>
      <c r="AR6" s="7" t="s">
        <v>68</v>
      </c>
      <c r="AS6" s="7">
        <v>4.3899999999999997</v>
      </c>
      <c r="AT6" s="7" t="s">
        <v>68</v>
      </c>
      <c r="AU6" s="7">
        <v>4.09</v>
      </c>
      <c r="AV6" s="7" t="s">
        <v>68</v>
      </c>
      <c r="AW6" s="7">
        <v>5.83</v>
      </c>
      <c r="AX6" s="7" t="s">
        <v>68</v>
      </c>
      <c r="AY6" s="7">
        <v>4.3899999999999997</v>
      </c>
      <c r="AZ6" s="7" t="s">
        <v>68</v>
      </c>
      <c r="BA6" s="7">
        <v>6.71</v>
      </c>
      <c r="BB6" s="7">
        <v>14.21</v>
      </c>
      <c r="BC6" s="7">
        <v>9.0399999999999991</v>
      </c>
      <c r="BD6" s="7">
        <v>10.6</v>
      </c>
      <c r="BE6" s="7">
        <v>2.96</v>
      </c>
      <c r="BF6" s="7">
        <v>154.81</v>
      </c>
      <c r="BG6" s="7">
        <v>13.82</v>
      </c>
      <c r="BH6" s="7" t="s">
        <v>68</v>
      </c>
      <c r="BI6" s="7">
        <v>21.09</v>
      </c>
      <c r="BJ6" s="7" t="s">
        <v>68</v>
      </c>
      <c r="BK6" s="7">
        <v>3.12</v>
      </c>
      <c r="BL6" s="7" t="s">
        <v>68</v>
      </c>
      <c r="BM6" s="7">
        <v>4.7300000000000004</v>
      </c>
      <c r="BN6" s="7">
        <v>65.8</v>
      </c>
      <c r="BO6" s="7">
        <v>3.83</v>
      </c>
      <c r="BP6" s="7">
        <v>12.72</v>
      </c>
      <c r="BQ6" s="7">
        <v>1.94</v>
      </c>
      <c r="BR6" s="7">
        <v>6.4</v>
      </c>
      <c r="BS6" s="7">
        <v>2.8</v>
      </c>
    </row>
    <row r="7" spans="1:71">
      <c r="A7" s="7">
        <v>5</v>
      </c>
      <c r="B7" s="7">
        <f t="shared" si="0"/>
        <v>1923.75</v>
      </c>
      <c r="C7" s="9" t="s">
        <v>76</v>
      </c>
      <c r="D7" s="7">
        <v>15668.61</v>
      </c>
      <c r="E7" s="7">
        <v>144.83000000000001</v>
      </c>
      <c r="F7" s="7" t="s">
        <v>68</v>
      </c>
      <c r="G7" s="7">
        <v>292.25</v>
      </c>
      <c r="H7" s="7">
        <v>1536.58</v>
      </c>
      <c r="I7" s="7">
        <v>132.56</v>
      </c>
      <c r="J7" s="7" t="s">
        <v>68</v>
      </c>
      <c r="K7" s="7">
        <v>148.61000000000001</v>
      </c>
      <c r="L7" s="7">
        <v>38.86</v>
      </c>
      <c r="M7" s="7">
        <v>8.48</v>
      </c>
      <c r="N7" s="7">
        <v>4224.93</v>
      </c>
      <c r="O7" s="7">
        <v>46.81</v>
      </c>
      <c r="P7" s="7">
        <v>86.61</v>
      </c>
      <c r="Q7" s="7">
        <v>11.87</v>
      </c>
      <c r="R7" s="7">
        <v>22.13</v>
      </c>
      <c r="S7" s="7">
        <v>6.34</v>
      </c>
      <c r="T7" s="7">
        <v>56.87</v>
      </c>
      <c r="U7" s="7">
        <v>22.12</v>
      </c>
      <c r="V7" s="7">
        <v>10171.76</v>
      </c>
      <c r="W7" s="7">
        <v>88.47</v>
      </c>
      <c r="X7" s="7" t="s">
        <v>68</v>
      </c>
      <c r="Y7" s="7">
        <v>49.19</v>
      </c>
      <c r="Z7" s="7">
        <v>28.63</v>
      </c>
      <c r="AA7" s="7">
        <v>11.62</v>
      </c>
      <c r="AB7" s="7" t="s">
        <v>68</v>
      </c>
      <c r="AC7" s="7">
        <v>10.11</v>
      </c>
      <c r="AD7" s="7">
        <v>46.26</v>
      </c>
      <c r="AE7" s="7">
        <v>4.57</v>
      </c>
      <c r="AF7" s="7">
        <v>14.68</v>
      </c>
      <c r="AG7" s="7">
        <v>3.13</v>
      </c>
      <c r="AH7" s="7" t="s">
        <v>68</v>
      </c>
      <c r="AI7" s="7">
        <v>2.0499999999999998</v>
      </c>
      <c r="AJ7" s="7">
        <v>87.32</v>
      </c>
      <c r="AK7" s="7">
        <v>2.16</v>
      </c>
      <c r="AL7" s="7">
        <v>70.58</v>
      </c>
      <c r="AM7" s="7">
        <v>1.73</v>
      </c>
      <c r="AN7" s="7">
        <v>372.09</v>
      </c>
      <c r="AO7" s="7">
        <v>3.62</v>
      </c>
      <c r="AP7" s="7">
        <v>7.05</v>
      </c>
      <c r="AQ7" s="7">
        <v>1.69</v>
      </c>
      <c r="AR7" s="7" t="s">
        <v>68</v>
      </c>
      <c r="AS7" s="7">
        <v>4.29</v>
      </c>
      <c r="AT7" s="7" t="s">
        <v>68</v>
      </c>
      <c r="AU7" s="7">
        <v>4.05</v>
      </c>
      <c r="AV7" s="7" t="s">
        <v>68</v>
      </c>
      <c r="AW7" s="7">
        <v>5.86</v>
      </c>
      <c r="AX7" s="7">
        <v>6.26</v>
      </c>
      <c r="AY7" s="7">
        <v>2.93</v>
      </c>
      <c r="AZ7" s="7" t="s">
        <v>68</v>
      </c>
      <c r="BA7" s="7">
        <v>6.7</v>
      </c>
      <c r="BB7" s="7">
        <v>27.12</v>
      </c>
      <c r="BC7" s="7">
        <v>9.08</v>
      </c>
      <c r="BD7" s="7">
        <v>16.13</v>
      </c>
      <c r="BE7" s="7">
        <v>2.97</v>
      </c>
      <c r="BF7" s="7">
        <v>177.78</v>
      </c>
      <c r="BG7" s="7">
        <v>13.85</v>
      </c>
      <c r="BH7" s="7" t="s">
        <v>68</v>
      </c>
      <c r="BI7" s="7">
        <v>20.52</v>
      </c>
      <c r="BJ7" s="7">
        <v>3.28</v>
      </c>
      <c r="BK7" s="7">
        <v>2.11</v>
      </c>
      <c r="BL7" s="7" t="s">
        <v>68</v>
      </c>
      <c r="BM7" s="7">
        <v>4.66</v>
      </c>
      <c r="BN7" s="7">
        <v>59.94</v>
      </c>
      <c r="BO7" s="7">
        <v>3.68</v>
      </c>
      <c r="BP7" s="7">
        <v>10.92</v>
      </c>
      <c r="BQ7" s="7">
        <v>1.85</v>
      </c>
      <c r="BR7" s="7" t="s">
        <v>68</v>
      </c>
      <c r="BS7" s="7">
        <v>3.9</v>
      </c>
    </row>
    <row r="8" spans="1:71">
      <c r="A8" s="7">
        <v>6</v>
      </c>
      <c r="B8" s="7">
        <f t="shared" si="0"/>
        <v>1903.75</v>
      </c>
      <c r="C8" s="9" t="s">
        <v>77</v>
      </c>
      <c r="D8" s="7">
        <v>17883.23</v>
      </c>
      <c r="E8" s="7">
        <v>159.46</v>
      </c>
      <c r="F8" s="7" t="s">
        <v>68</v>
      </c>
      <c r="G8" s="7">
        <v>324.77</v>
      </c>
      <c r="H8" s="7">
        <v>1736.71</v>
      </c>
      <c r="I8" s="7">
        <v>143.74</v>
      </c>
      <c r="J8" s="7" t="s">
        <v>68</v>
      </c>
      <c r="K8" s="7">
        <v>149.80000000000001</v>
      </c>
      <c r="L8" s="7">
        <v>28.75</v>
      </c>
      <c r="M8" s="7">
        <v>8.8699999999999992</v>
      </c>
      <c r="N8" s="7">
        <v>4785.46</v>
      </c>
      <c r="O8" s="7">
        <v>51.43</v>
      </c>
      <c r="P8" s="7">
        <v>125.45</v>
      </c>
      <c r="Q8" s="7">
        <v>13.19</v>
      </c>
      <c r="R8" s="7">
        <v>45.44</v>
      </c>
      <c r="S8" s="7">
        <v>6.83</v>
      </c>
      <c r="T8" s="7">
        <v>89.17</v>
      </c>
      <c r="U8" s="7">
        <v>23.58</v>
      </c>
      <c r="V8" s="7">
        <v>12342.74</v>
      </c>
      <c r="W8" s="7">
        <v>98.72</v>
      </c>
      <c r="X8" s="7" t="s">
        <v>68</v>
      </c>
      <c r="Y8" s="7">
        <v>54.34</v>
      </c>
      <c r="Z8" s="7">
        <v>39.24</v>
      </c>
      <c r="AA8" s="7">
        <v>12.04</v>
      </c>
      <c r="AB8" s="7">
        <v>14.16</v>
      </c>
      <c r="AC8" s="7">
        <v>7.1</v>
      </c>
      <c r="AD8" s="7">
        <v>61.43</v>
      </c>
      <c r="AE8" s="7">
        <v>5.03</v>
      </c>
      <c r="AF8" s="7">
        <v>9.1300000000000008</v>
      </c>
      <c r="AG8" s="7">
        <v>3.21</v>
      </c>
      <c r="AH8" s="7" t="s">
        <v>68</v>
      </c>
      <c r="AI8" s="7">
        <v>2.09</v>
      </c>
      <c r="AJ8" s="7">
        <v>110.02</v>
      </c>
      <c r="AK8" s="7">
        <v>2.4300000000000002</v>
      </c>
      <c r="AL8" s="7">
        <v>86.9</v>
      </c>
      <c r="AM8" s="7">
        <v>1.93</v>
      </c>
      <c r="AN8" s="7">
        <v>397.27</v>
      </c>
      <c r="AO8" s="7">
        <v>3.8</v>
      </c>
      <c r="AP8" s="7">
        <v>10.27</v>
      </c>
      <c r="AQ8" s="7">
        <v>1.76</v>
      </c>
      <c r="AR8" s="7" t="s">
        <v>68</v>
      </c>
      <c r="AS8" s="7">
        <v>4.4000000000000004</v>
      </c>
      <c r="AT8" s="7" t="s">
        <v>68</v>
      </c>
      <c r="AU8" s="7">
        <v>4.07</v>
      </c>
      <c r="AV8" s="7" t="s">
        <v>68</v>
      </c>
      <c r="AW8" s="7">
        <v>5.9</v>
      </c>
      <c r="AX8" s="7">
        <v>6.94</v>
      </c>
      <c r="AY8" s="7">
        <v>2.97</v>
      </c>
      <c r="AZ8" s="7" t="s">
        <v>68</v>
      </c>
      <c r="BA8" s="7">
        <v>6.78</v>
      </c>
      <c r="BB8" s="7">
        <v>29.75</v>
      </c>
      <c r="BC8" s="7">
        <v>9.1999999999999993</v>
      </c>
      <c r="BD8" s="7">
        <v>19.190000000000001</v>
      </c>
      <c r="BE8" s="7">
        <v>3.01</v>
      </c>
      <c r="BF8" s="7">
        <v>206.56</v>
      </c>
      <c r="BG8" s="7">
        <v>14.15</v>
      </c>
      <c r="BH8" s="7" t="s">
        <v>68</v>
      </c>
      <c r="BI8" s="7">
        <v>21.51</v>
      </c>
      <c r="BJ8" s="7" t="s">
        <v>68</v>
      </c>
      <c r="BK8" s="7">
        <v>3.22</v>
      </c>
      <c r="BL8" s="7">
        <v>5.08</v>
      </c>
      <c r="BM8" s="7">
        <v>3.27</v>
      </c>
      <c r="BN8" s="7">
        <v>66.95</v>
      </c>
      <c r="BO8" s="7">
        <v>3.91</v>
      </c>
      <c r="BP8" s="7">
        <v>14.48</v>
      </c>
      <c r="BQ8" s="7">
        <v>2.02</v>
      </c>
      <c r="BR8" s="7" t="s">
        <v>68</v>
      </c>
      <c r="BS8" s="7">
        <v>4.21</v>
      </c>
    </row>
    <row r="9" spans="1:71">
      <c r="A9" s="7">
        <v>7</v>
      </c>
      <c r="B9" s="7">
        <f t="shared" si="0"/>
        <v>1883.75</v>
      </c>
      <c r="C9" s="9" t="s">
        <v>78</v>
      </c>
      <c r="D9" s="7">
        <v>20244.48</v>
      </c>
      <c r="E9" s="7">
        <v>169.27</v>
      </c>
      <c r="F9" s="7" t="s">
        <v>68</v>
      </c>
      <c r="G9" s="7">
        <v>307.93</v>
      </c>
      <c r="H9" s="7">
        <v>2426.7800000000002</v>
      </c>
      <c r="I9" s="7">
        <v>162.07</v>
      </c>
      <c r="J9" s="7" t="s">
        <v>68</v>
      </c>
      <c r="K9" s="7">
        <v>150</v>
      </c>
      <c r="L9" s="7">
        <v>28.69</v>
      </c>
      <c r="M9" s="7">
        <v>8.82</v>
      </c>
      <c r="N9" s="7">
        <v>4818.7700000000004</v>
      </c>
      <c r="O9" s="7">
        <v>51.99</v>
      </c>
      <c r="P9" s="7">
        <v>142.55000000000001</v>
      </c>
      <c r="Q9" s="7">
        <v>13.49</v>
      </c>
      <c r="R9" s="7">
        <v>43.12</v>
      </c>
      <c r="S9" s="7">
        <v>6.85</v>
      </c>
      <c r="T9" s="7">
        <v>54.72</v>
      </c>
      <c r="U9" s="7">
        <v>22.7</v>
      </c>
      <c r="V9" s="7">
        <v>12279.19</v>
      </c>
      <c r="W9" s="7">
        <v>98.68</v>
      </c>
      <c r="X9" s="7" t="s">
        <v>68</v>
      </c>
      <c r="Y9" s="7">
        <v>54.78</v>
      </c>
      <c r="Z9" s="7">
        <v>19.809999999999999</v>
      </c>
      <c r="AA9" s="7">
        <v>11.84</v>
      </c>
      <c r="AB9" s="7">
        <v>13.56</v>
      </c>
      <c r="AC9" s="7">
        <v>7.08</v>
      </c>
      <c r="AD9" s="7">
        <v>54.94</v>
      </c>
      <c r="AE9" s="7">
        <v>4.9000000000000004</v>
      </c>
      <c r="AF9" s="7">
        <v>14.46</v>
      </c>
      <c r="AG9" s="7">
        <v>3.43</v>
      </c>
      <c r="AH9" s="7" t="s">
        <v>68</v>
      </c>
      <c r="AI9" s="7">
        <v>2.0499999999999998</v>
      </c>
      <c r="AJ9" s="7">
        <v>121.01</v>
      </c>
      <c r="AK9" s="7">
        <v>2.54</v>
      </c>
      <c r="AL9" s="7">
        <v>96.4</v>
      </c>
      <c r="AM9" s="7">
        <v>2.02</v>
      </c>
      <c r="AN9" s="7">
        <v>357.73</v>
      </c>
      <c r="AO9" s="7">
        <v>3.65</v>
      </c>
      <c r="AP9" s="7">
        <v>9.1999999999999993</v>
      </c>
      <c r="AQ9" s="7">
        <v>1.73</v>
      </c>
      <c r="AR9" s="7" t="s">
        <v>68</v>
      </c>
      <c r="AS9" s="7">
        <v>4.37</v>
      </c>
      <c r="AT9" s="7" t="s">
        <v>68</v>
      </c>
      <c r="AU9" s="7">
        <v>4.07</v>
      </c>
      <c r="AV9" s="7" t="s">
        <v>68</v>
      </c>
      <c r="AW9" s="7">
        <v>5.88</v>
      </c>
      <c r="AX9" s="7" t="s">
        <v>68</v>
      </c>
      <c r="AY9" s="7">
        <v>4.34</v>
      </c>
      <c r="AZ9" s="7" t="s">
        <v>68</v>
      </c>
      <c r="BA9" s="7">
        <v>6.7</v>
      </c>
      <c r="BB9" s="7" t="s">
        <v>68</v>
      </c>
      <c r="BC9" s="7">
        <v>13.5</v>
      </c>
      <c r="BD9" s="7" t="s">
        <v>68</v>
      </c>
      <c r="BE9" s="7">
        <v>4.43</v>
      </c>
      <c r="BF9" s="7">
        <v>151.44</v>
      </c>
      <c r="BG9" s="7">
        <v>13.87</v>
      </c>
      <c r="BH9" s="7" t="s">
        <v>68</v>
      </c>
      <c r="BI9" s="7">
        <v>21.76</v>
      </c>
      <c r="BJ9" s="7" t="s">
        <v>68</v>
      </c>
      <c r="BK9" s="7">
        <v>3.19</v>
      </c>
      <c r="BL9" s="7" t="s">
        <v>68</v>
      </c>
      <c r="BM9" s="7">
        <v>4.87</v>
      </c>
      <c r="BN9" s="7">
        <v>75.150000000000006</v>
      </c>
      <c r="BO9" s="7">
        <v>4.0999999999999996</v>
      </c>
      <c r="BP9" s="7">
        <v>13.59</v>
      </c>
      <c r="BQ9" s="7">
        <v>2.02</v>
      </c>
      <c r="BR9" s="7" t="s">
        <v>68</v>
      </c>
      <c r="BS9" s="7">
        <v>4.34</v>
      </c>
    </row>
    <row r="10" spans="1:71">
      <c r="A10" s="7">
        <v>8</v>
      </c>
      <c r="B10" s="7">
        <f t="shared" si="0"/>
        <v>1863.75</v>
      </c>
      <c r="C10" s="9" t="s">
        <v>79</v>
      </c>
      <c r="D10" s="7">
        <v>20387.37</v>
      </c>
      <c r="E10" s="7">
        <v>167.02</v>
      </c>
      <c r="F10" s="7" t="s">
        <v>68</v>
      </c>
      <c r="G10" s="7">
        <v>310.10000000000002</v>
      </c>
      <c r="H10" s="7">
        <v>3556.7</v>
      </c>
      <c r="I10" s="7">
        <v>184.12</v>
      </c>
      <c r="J10" s="7" t="s">
        <v>68</v>
      </c>
      <c r="K10" s="7">
        <v>147.16999999999999</v>
      </c>
      <c r="L10" s="7">
        <v>28.99</v>
      </c>
      <c r="M10" s="7">
        <v>8.3000000000000007</v>
      </c>
      <c r="N10" s="7">
        <v>5194.43</v>
      </c>
      <c r="O10" s="7">
        <v>52.58</v>
      </c>
      <c r="P10" s="7">
        <v>129.93</v>
      </c>
      <c r="Q10" s="7">
        <v>13.4</v>
      </c>
      <c r="R10" s="7">
        <v>41.91</v>
      </c>
      <c r="S10" s="7">
        <v>6.68</v>
      </c>
      <c r="T10" s="7">
        <v>75.86</v>
      </c>
      <c r="U10" s="7">
        <v>22.76</v>
      </c>
      <c r="V10" s="7">
        <v>10558.31</v>
      </c>
      <c r="W10" s="7">
        <v>90.61</v>
      </c>
      <c r="X10" s="7" t="s">
        <v>68</v>
      </c>
      <c r="Y10" s="7">
        <v>49.85</v>
      </c>
      <c r="Z10" s="7">
        <v>23.22</v>
      </c>
      <c r="AA10" s="7">
        <v>11.69</v>
      </c>
      <c r="AB10" s="7">
        <v>13.38</v>
      </c>
      <c r="AC10" s="7">
        <v>6.99</v>
      </c>
      <c r="AD10" s="7">
        <v>44.83</v>
      </c>
      <c r="AE10" s="7">
        <v>4.5999999999999996</v>
      </c>
      <c r="AF10" s="7">
        <v>13.5</v>
      </c>
      <c r="AG10" s="7">
        <v>3.48</v>
      </c>
      <c r="AH10" s="7" t="s">
        <v>68</v>
      </c>
      <c r="AI10" s="7">
        <v>2.0699999999999998</v>
      </c>
      <c r="AJ10" s="7">
        <v>120.21</v>
      </c>
      <c r="AK10" s="7">
        <v>2.5099999999999998</v>
      </c>
      <c r="AL10" s="7">
        <v>97.97</v>
      </c>
      <c r="AM10" s="7">
        <v>2.0099999999999998</v>
      </c>
      <c r="AN10" s="7">
        <v>427.76</v>
      </c>
      <c r="AO10" s="7">
        <v>3.9</v>
      </c>
      <c r="AP10" s="7">
        <v>11.28</v>
      </c>
      <c r="AQ10" s="7">
        <v>1.78</v>
      </c>
      <c r="AR10" s="7" t="s">
        <v>68</v>
      </c>
      <c r="AS10" s="7">
        <v>4.32</v>
      </c>
      <c r="AT10" s="7" t="s">
        <v>68</v>
      </c>
      <c r="AU10" s="7">
        <v>4.0199999999999996</v>
      </c>
      <c r="AV10" s="7" t="s">
        <v>68</v>
      </c>
      <c r="AW10" s="7">
        <v>5.93</v>
      </c>
      <c r="AX10" s="7">
        <v>4.43</v>
      </c>
      <c r="AY10" s="7">
        <v>2.92</v>
      </c>
      <c r="AZ10" s="7" t="s">
        <v>68</v>
      </c>
      <c r="BA10" s="7">
        <v>6.7</v>
      </c>
      <c r="BB10" s="7" t="s">
        <v>68</v>
      </c>
      <c r="BC10" s="7">
        <v>13.42</v>
      </c>
      <c r="BD10" s="7">
        <v>8.6</v>
      </c>
      <c r="BE10" s="7">
        <v>2.96</v>
      </c>
      <c r="BF10" s="7">
        <v>156.77000000000001</v>
      </c>
      <c r="BG10" s="7">
        <v>13.83</v>
      </c>
      <c r="BH10" s="7" t="s">
        <v>68</v>
      </c>
      <c r="BI10" s="7">
        <v>21.49</v>
      </c>
      <c r="BJ10" s="7" t="s">
        <v>68</v>
      </c>
      <c r="BK10" s="7">
        <v>3.18</v>
      </c>
      <c r="BL10" s="7" t="s">
        <v>68</v>
      </c>
      <c r="BM10" s="7">
        <v>4.82</v>
      </c>
      <c r="BN10" s="7">
        <v>81.81</v>
      </c>
      <c r="BO10" s="7">
        <v>4.1900000000000004</v>
      </c>
      <c r="BP10" s="7">
        <v>13.98</v>
      </c>
      <c r="BQ10" s="7">
        <v>2.02</v>
      </c>
      <c r="BR10" s="7" t="s">
        <v>68</v>
      </c>
      <c r="BS10" s="7">
        <v>4.33</v>
      </c>
    </row>
    <row r="11" spans="1:71">
      <c r="A11" s="7">
        <v>9</v>
      </c>
      <c r="B11" s="7">
        <f t="shared" si="0"/>
        <v>1843.75</v>
      </c>
      <c r="C11" s="9" t="s">
        <v>80</v>
      </c>
      <c r="D11" s="7">
        <v>21555.88</v>
      </c>
      <c r="E11" s="7">
        <v>168.89</v>
      </c>
      <c r="F11" s="7" t="s">
        <v>68</v>
      </c>
      <c r="G11" s="7">
        <v>305.51</v>
      </c>
      <c r="H11" s="7">
        <v>3197.04</v>
      </c>
      <c r="I11" s="7">
        <v>173.53</v>
      </c>
      <c r="J11" s="7" t="s">
        <v>68</v>
      </c>
      <c r="K11" s="7">
        <v>147.08000000000001</v>
      </c>
      <c r="L11" s="7">
        <v>24.99</v>
      </c>
      <c r="M11" s="7">
        <v>8.3699999999999992</v>
      </c>
      <c r="N11" s="7">
        <v>5175.5600000000004</v>
      </c>
      <c r="O11" s="7">
        <v>51.62</v>
      </c>
      <c r="P11" s="7">
        <v>130.16</v>
      </c>
      <c r="Q11" s="7">
        <v>13.16</v>
      </c>
      <c r="R11" s="7">
        <v>47.13</v>
      </c>
      <c r="S11" s="7">
        <v>6.62</v>
      </c>
      <c r="T11" s="7">
        <v>54.34</v>
      </c>
      <c r="U11" s="7">
        <v>21.94</v>
      </c>
      <c r="V11" s="7">
        <v>9663.33</v>
      </c>
      <c r="W11" s="7">
        <v>86.06</v>
      </c>
      <c r="X11" s="7" t="s">
        <v>68</v>
      </c>
      <c r="Y11" s="7">
        <v>47.84</v>
      </c>
      <c r="Z11" s="7">
        <v>27.39</v>
      </c>
      <c r="AA11" s="7">
        <v>11.63</v>
      </c>
      <c r="AB11" s="7">
        <v>11.91</v>
      </c>
      <c r="AC11" s="7">
        <v>6.9</v>
      </c>
      <c r="AD11" s="7">
        <v>34.450000000000003</v>
      </c>
      <c r="AE11" s="7">
        <v>4.28</v>
      </c>
      <c r="AF11" s="7">
        <v>14.32</v>
      </c>
      <c r="AG11" s="7">
        <v>3.05</v>
      </c>
      <c r="AH11" s="7" t="s">
        <v>68</v>
      </c>
      <c r="AI11" s="7">
        <v>2.09</v>
      </c>
      <c r="AJ11" s="7">
        <v>130.09</v>
      </c>
      <c r="AK11" s="7">
        <v>2.58</v>
      </c>
      <c r="AL11" s="7">
        <v>107.62</v>
      </c>
      <c r="AM11" s="7">
        <v>2.08</v>
      </c>
      <c r="AN11" s="7">
        <v>368.36</v>
      </c>
      <c r="AO11" s="7">
        <v>3.63</v>
      </c>
      <c r="AP11" s="7">
        <v>11.07</v>
      </c>
      <c r="AQ11" s="7">
        <v>1.72</v>
      </c>
      <c r="AR11" s="7" t="s">
        <v>68</v>
      </c>
      <c r="AS11" s="7">
        <v>4.3099999999999996</v>
      </c>
      <c r="AT11" s="7" t="s">
        <v>68</v>
      </c>
      <c r="AU11" s="7">
        <v>4.0599999999999996</v>
      </c>
      <c r="AV11" s="7" t="s">
        <v>68</v>
      </c>
      <c r="AW11" s="7">
        <v>5.82</v>
      </c>
      <c r="AX11" s="7" t="s">
        <v>68</v>
      </c>
      <c r="AY11" s="7">
        <v>4.33</v>
      </c>
      <c r="AZ11" s="7" t="s">
        <v>68</v>
      </c>
      <c r="BA11" s="7">
        <v>6.61</v>
      </c>
      <c r="BB11" s="7" t="s">
        <v>68</v>
      </c>
      <c r="BC11" s="7">
        <v>13.35</v>
      </c>
      <c r="BD11" s="7" t="s">
        <v>68</v>
      </c>
      <c r="BE11" s="7">
        <v>4.3899999999999997</v>
      </c>
      <c r="BF11" s="7">
        <v>157.32</v>
      </c>
      <c r="BG11" s="7">
        <v>13.77</v>
      </c>
      <c r="BH11" s="7" t="s">
        <v>68</v>
      </c>
      <c r="BI11" s="7">
        <v>20.74</v>
      </c>
      <c r="BJ11" s="7">
        <v>3.97</v>
      </c>
      <c r="BK11" s="7">
        <v>2.15</v>
      </c>
      <c r="BL11" s="7" t="s">
        <v>68</v>
      </c>
      <c r="BM11" s="7">
        <v>4.7</v>
      </c>
      <c r="BN11" s="7">
        <v>55.61</v>
      </c>
      <c r="BO11" s="7">
        <v>3.59</v>
      </c>
      <c r="BP11" s="7">
        <v>17.43</v>
      </c>
      <c r="BQ11" s="7">
        <v>2.04</v>
      </c>
      <c r="BR11" s="7" t="s">
        <v>68</v>
      </c>
      <c r="BS11" s="7">
        <v>4.38</v>
      </c>
    </row>
    <row r="12" spans="1:71">
      <c r="A12" s="7">
        <v>10</v>
      </c>
      <c r="B12" s="7">
        <f t="shared" si="0"/>
        <v>1823.75</v>
      </c>
      <c r="C12" s="9" t="s">
        <v>81</v>
      </c>
      <c r="D12" s="7">
        <v>23345.71</v>
      </c>
      <c r="E12" s="7">
        <v>176.95</v>
      </c>
      <c r="F12" s="7" t="s">
        <v>68</v>
      </c>
      <c r="G12" s="7">
        <v>283.02</v>
      </c>
      <c r="H12" s="7">
        <v>3532</v>
      </c>
      <c r="I12" s="7">
        <v>182.58</v>
      </c>
      <c r="J12" s="7">
        <v>451.4</v>
      </c>
      <c r="K12" s="7">
        <v>97.23</v>
      </c>
      <c r="L12" s="7">
        <v>25.38</v>
      </c>
      <c r="M12" s="7">
        <v>8.76</v>
      </c>
      <c r="N12" s="7">
        <v>5308.3</v>
      </c>
      <c r="O12" s="7">
        <v>52.79</v>
      </c>
      <c r="P12" s="7">
        <v>154.6</v>
      </c>
      <c r="Q12" s="7">
        <v>13.6</v>
      </c>
      <c r="R12" s="7">
        <v>57.53</v>
      </c>
      <c r="S12" s="7">
        <v>6.8</v>
      </c>
      <c r="T12" s="7">
        <v>47.55</v>
      </c>
      <c r="U12" s="7">
        <v>21.92</v>
      </c>
      <c r="V12" s="7">
        <v>11196.13</v>
      </c>
      <c r="W12" s="7">
        <v>92.34</v>
      </c>
      <c r="X12" s="7" t="s">
        <v>68</v>
      </c>
      <c r="Y12" s="7">
        <v>51.42</v>
      </c>
      <c r="Z12" s="7">
        <v>22.1</v>
      </c>
      <c r="AA12" s="7">
        <v>11.63</v>
      </c>
      <c r="AB12" s="7">
        <v>14.08</v>
      </c>
      <c r="AC12" s="7">
        <v>6.96</v>
      </c>
      <c r="AD12" s="7">
        <v>45</v>
      </c>
      <c r="AE12" s="7">
        <v>4.57</v>
      </c>
      <c r="AF12" s="7">
        <v>15.89</v>
      </c>
      <c r="AG12" s="7">
        <v>3.08</v>
      </c>
      <c r="AH12" s="7" t="s">
        <v>68</v>
      </c>
      <c r="AI12" s="7">
        <v>2.0499999999999998</v>
      </c>
      <c r="AJ12" s="7">
        <v>149.04</v>
      </c>
      <c r="AK12" s="7">
        <v>2.75</v>
      </c>
      <c r="AL12" s="7">
        <v>118.67</v>
      </c>
      <c r="AM12" s="7">
        <v>2.1800000000000002</v>
      </c>
      <c r="AN12" s="7">
        <v>321.77</v>
      </c>
      <c r="AO12" s="7">
        <v>3.43</v>
      </c>
      <c r="AP12" s="7">
        <v>10.56</v>
      </c>
      <c r="AQ12" s="7">
        <v>1.69</v>
      </c>
      <c r="AR12" s="7" t="s">
        <v>68</v>
      </c>
      <c r="AS12" s="7">
        <v>4.3499999999999996</v>
      </c>
      <c r="AT12" s="7" t="s">
        <v>68</v>
      </c>
      <c r="AU12" s="7">
        <v>4.0599999999999996</v>
      </c>
      <c r="AV12" s="7" t="s">
        <v>68</v>
      </c>
      <c r="AW12" s="7">
        <v>5.81</v>
      </c>
      <c r="AX12" s="7" t="s">
        <v>68</v>
      </c>
      <c r="AY12" s="7">
        <v>4.38</v>
      </c>
      <c r="AZ12" s="7" t="s">
        <v>68</v>
      </c>
      <c r="BA12" s="7">
        <v>6.6</v>
      </c>
      <c r="BB12" s="7" t="s">
        <v>68</v>
      </c>
      <c r="BC12" s="7">
        <v>13.45</v>
      </c>
      <c r="BD12" s="7" t="s">
        <v>68</v>
      </c>
      <c r="BE12" s="7">
        <v>4.4000000000000004</v>
      </c>
      <c r="BF12" s="7">
        <v>149.15</v>
      </c>
      <c r="BG12" s="7">
        <v>13.88</v>
      </c>
      <c r="BH12" s="7" t="s">
        <v>68</v>
      </c>
      <c r="BI12" s="7">
        <v>21.3</v>
      </c>
      <c r="BJ12" s="7" t="s">
        <v>68</v>
      </c>
      <c r="BK12" s="7">
        <v>3.14</v>
      </c>
      <c r="BL12" s="7" t="s">
        <v>68</v>
      </c>
      <c r="BM12" s="7">
        <v>4.78</v>
      </c>
      <c r="BN12" s="7">
        <v>55.98</v>
      </c>
      <c r="BO12" s="7">
        <v>3.59</v>
      </c>
      <c r="BP12" s="7">
        <v>15.73</v>
      </c>
      <c r="BQ12" s="7">
        <v>2.02</v>
      </c>
      <c r="BR12" s="7" t="s">
        <v>68</v>
      </c>
      <c r="BS12" s="7">
        <v>4.6100000000000003</v>
      </c>
    </row>
    <row r="13" spans="1:71">
      <c r="A13" s="7">
        <v>11</v>
      </c>
      <c r="B13" s="7">
        <f t="shared" si="0"/>
        <v>1803.75</v>
      </c>
      <c r="C13" s="9" t="s">
        <v>82</v>
      </c>
      <c r="D13" s="7">
        <v>22644.080000000002</v>
      </c>
      <c r="E13" s="7">
        <v>178.02</v>
      </c>
      <c r="F13" s="7" t="s">
        <v>68</v>
      </c>
      <c r="G13" s="7">
        <v>304.70999999999998</v>
      </c>
      <c r="H13" s="7">
        <v>5338.53</v>
      </c>
      <c r="I13" s="7">
        <v>221.65</v>
      </c>
      <c r="J13" s="7" t="s">
        <v>68</v>
      </c>
      <c r="K13" s="7">
        <v>148.79</v>
      </c>
      <c r="L13" s="7">
        <v>25.02</v>
      </c>
      <c r="M13" s="7">
        <v>8.5500000000000007</v>
      </c>
      <c r="N13" s="7">
        <v>5303.24</v>
      </c>
      <c r="O13" s="7">
        <v>53.85</v>
      </c>
      <c r="P13" s="7">
        <v>144.06</v>
      </c>
      <c r="Q13" s="7">
        <v>13.8</v>
      </c>
      <c r="R13" s="7">
        <v>56.41</v>
      </c>
      <c r="S13" s="7">
        <v>6.91</v>
      </c>
      <c r="T13" s="7">
        <v>66.66</v>
      </c>
      <c r="U13" s="7">
        <v>22.45</v>
      </c>
      <c r="V13" s="7">
        <v>12335.65</v>
      </c>
      <c r="W13" s="7">
        <v>97.11</v>
      </c>
      <c r="X13" s="7" t="s">
        <v>68</v>
      </c>
      <c r="Y13" s="7">
        <v>53.27</v>
      </c>
      <c r="Z13" s="7">
        <v>39.090000000000003</v>
      </c>
      <c r="AA13" s="7">
        <v>11.9</v>
      </c>
      <c r="AB13" s="7" t="s">
        <v>68</v>
      </c>
      <c r="AC13" s="7">
        <v>10.39</v>
      </c>
      <c r="AD13" s="7">
        <v>48.16</v>
      </c>
      <c r="AE13" s="7">
        <v>4.6399999999999997</v>
      </c>
      <c r="AF13" s="7">
        <v>20.74</v>
      </c>
      <c r="AG13" s="7">
        <v>3.18</v>
      </c>
      <c r="AH13" s="7" t="s">
        <v>68</v>
      </c>
      <c r="AI13" s="7">
        <v>2.0299999999999998</v>
      </c>
      <c r="AJ13" s="7">
        <v>140.87</v>
      </c>
      <c r="AK13" s="7">
        <v>2.68</v>
      </c>
      <c r="AL13" s="7">
        <v>113.66</v>
      </c>
      <c r="AM13" s="7">
        <v>2.14</v>
      </c>
      <c r="AN13" s="7">
        <v>348.76</v>
      </c>
      <c r="AO13" s="7">
        <v>3.55</v>
      </c>
      <c r="AP13" s="7">
        <v>13.7</v>
      </c>
      <c r="AQ13" s="7">
        <v>1.73</v>
      </c>
      <c r="AR13" s="7" t="s">
        <v>68</v>
      </c>
      <c r="AS13" s="7">
        <v>4.37</v>
      </c>
      <c r="AT13" s="7" t="s">
        <v>68</v>
      </c>
      <c r="AU13" s="7">
        <v>4.08</v>
      </c>
      <c r="AV13" s="7" t="s">
        <v>68</v>
      </c>
      <c r="AW13" s="7">
        <v>5.91</v>
      </c>
      <c r="AX13" s="7" t="s">
        <v>68</v>
      </c>
      <c r="AY13" s="7">
        <v>4.4000000000000004</v>
      </c>
      <c r="AZ13" s="7" t="s">
        <v>68</v>
      </c>
      <c r="BA13" s="7">
        <v>6.71</v>
      </c>
      <c r="BB13" s="7" t="s">
        <v>68</v>
      </c>
      <c r="BC13" s="7">
        <v>13.57</v>
      </c>
      <c r="BD13" s="7" t="s">
        <v>68</v>
      </c>
      <c r="BE13" s="7">
        <v>4.46</v>
      </c>
      <c r="BF13" s="7">
        <v>146.22999999999999</v>
      </c>
      <c r="BG13" s="7">
        <v>14.02</v>
      </c>
      <c r="BH13" s="7" t="s">
        <v>68</v>
      </c>
      <c r="BI13" s="7">
        <v>21.08</v>
      </c>
      <c r="BJ13" s="7" t="s">
        <v>68</v>
      </c>
      <c r="BK13" s="7">
        <v>3.11</v>
      </c>
      <c r="BL13" s="7" t="s">
        <v>68</v>
      </c>
      <c r="BM13" s="7">
        <v>4.78</v>
      </c>
      <c r="BN13" s="7">
        <v>56.8</v>
      </c>
      <c r="BO13" s="7">
        <v>3.62</v>
      </c>
      <c r="BP13" s="7">
        <v>15.89</v>
      </c>
      <c r="BQ13" s="7">
        <v>2.0299999999999998</v>
      </c>
      <c r="BR13" s="7" t="s">
        <v>68</v>
      </c>
      <c r="BS13" s="7">
        <v>4.5</v>
      </c>
    </row>
    <row r="14" spans="1:71">
      <c r="A14" s="7">
        <v>12</v>
      </c>
      <c r="B14" s="7">
        <f t="shared" si="0"/>
        <v>1783.75</v>
      </c>
      <c r="C14" s="9" t="s">
        <v>83</v>
      </c>
      <c r="D14" s="7">
        <v>22779.7</v>
      </c>
      <c r="E14" s="7">
        <v>178.48</v>
      </c>
      <c r="F14" s="7" t="s">
        <v>68</v>
      </c>
      <c r="G14" s="7">
        <v>320.74</v>
      </c>
      <c r="H14" s="7">
        <v>5897.37</v>
      </c>
      <c r="I14" s="7">
        <v>231.4</v>
      </c>
      <c r="J14" s="7" t="s">
        <v>68</v>
      </c>
      <c r="K14" s="7">
        <v>148.41999999999999</v>
      </c>
      <c r="L14" s="7">
        <v>20.94</v>
      </c>
      <c r="M14" s="7">
        <v>8.5</v>
      </c>
      <c r="N14" s="7">
        <v>5291.32</v>
      </c>
      <c r="O14" s="7">
        <v>53.92</v>
      </c>
      <c r="P14" s="7">
        <v>125.11</v>
      </c>
      <c r="Q14" s="7">
        <v>13.7</v>
      </c>
      <c r="R14" s="7">
        <v>61.25</v>
      </c>
      <c r="S14" s="7">
        <v>6.91</v>
      </c>
      <c r="T14" s="7">
        <v>46.16</v>
      </c>
      <c r="U14" s="7">
        <v>22.23</v>
      </c>
      <c r="V14" s="7">
        <v>12764.63</v>
      </c>
      <c r="W14" s="7">
        <v>98.93</v>
      </c>
      <c r="X14" s="7">
        <v>65.69</v>
      </c>
      <c r="Y14" s="7">
        <v>36.85</v>
      </c>
      <c r="Z14" s="7">
        <v>25.2</v>
      </c>
      <c r="AA14" s="7">
        <v>11.82</v>
      </c>
      <c r="AB14" s="7" t="s">
        <v>68</v>
      </c>
      <c r="AC14" s="7">
        <v>10.4</v>
      </c>
      <c r="AD14" s="7">
        <v>42.67</v>
      </c>
      <c r="AE14" s="7">
        <v>4.5199999999999996</v>
      </c>
      <c r="AF14" s="7">
        <v>26.98</v>
      </c>
      <c r="AG14" s="7">
        <v>3.05</v>
      </c>
      <c r="AH14" s="7" t="s">
        <v>68</v>
      </c>
      <c r="AI14" s="7">
        <v>2.0499999999999998</v>
      </c>
      <c r="AJ14" s="7">
        <v>139.19</v>
      </c>
      <c r="AK14" s="7">
        <v>2.68</v>
      </c>
      <c r="AL14" s="7">
        <v>118.39</v>
      </c>
      <c r="AM14" s="7">
        <v>2.1800000000000002</v>
      </c>
      <c r="AN14" s="7">
        <v>317.10000000000002</v>
      </c>
      <c r="AO14" s="7">
        <v>3.42</v>
      </c>
      <c r="AP14" s="7">
        <v>14.78</v>
      </c>
      <c r="AQ14" s="7">
        <v>1.73</v>
      </c>
      <c r="AR14" s="7" t="s">
        <v>68</v>
      </c>
      <c r="AS14" s="7">
        <v>4.4400000000000004</v>
      </c>
      <c r="AT14" s="7" t="s">
        <v>68</v>
      </c>
      <c r="AU14" s="7">
        <v>4.1500000000000004</v>
      </c>
      <c r="AV14" s="7" t="s">
        <v>68</v>
      </c>
      <c r="AW14" s="7">
        <v>5.94</v>
      </c>
      <c r="AX14" s="7" t="s">
        <v>68</v>
      </c>
      <c r="AY14" s="7">
        <v>4.46</v>
      </c>
      <c r="AZ14" s="7" t="s">
        <v>68</v>
      </c>
      <c r="BA14" s="7">
        <v>6.78</v>
      </c>
      <c r="BB14" s="7" t="s">
        <v>68</v>
      </c>
      <c r="BC14" s="7">
        <v>13.62</v>
      </c>
      <c r="BD14" s="7" t="s">
        <v>68</v>
      </c>
      <c r="BE14" s="7">
        <v>4.5</v>
      </c>
      <c r="BF14" s="7">
        <v>169.57</v>
      </c>
      <c r="BG14" s="7">
        <v>14.19</v>
      </c>
      <c r="BH14" s="7" t="s">
        <v>68</v>
      </c>
      <c r="BI14" s="7">
        <v>21.11</v>
      </c>
      <c r="BJ14" s="7" t="s">
        <v>68</v>
      </c>
      <c r="BK14" s="7">
        <v>3.14</v>
      </c>
      <c r="BL14" s="7" t="s">
        <v>68</v>
      </c>
      <c r="BM14" s="7">
        <v>4.7300000000000004</v>
      </c>
      <c r="BN14" s="7">
        <v>42.52</v>
      </c>
      <c r="BO14" s="7">
        <v>3.27</v>
      </c>
      <c r="BP14" s="7">
        <v>15.45</v>
      </c>
      <c r="BQ14" s="7">
        <v>1.99</v>
      </c>
      <c r="BR14" s="7" t="s">
        <v>68</v>
      </c>
      <c r="BS14" s="7">
        <v>4.54</v>
      </c>
    </row>
    <row r="15" spans="1:71">
      <c r="A15" s="7">
        <v>13</v>
      </c>
      <c r="B15" s="7">
        <f t="shared" si="0"/>
        <v>1763.75</v>
      </c>
      <c r="C15" s="9" t="s">
        <v>84</v>
      </c>
      <c r="D15" s="7">
        <v>23483.71</v>
      </c>
      <c r="E15" s="7">
        <v>185.17</v>
      </c>
      <c r="F15" s="7" t="s">
        <v>68</v>
      </c>
      <c r="G15" s="7">
        <v>323.82</v>
      </c>
      <c r="H15" s="7">
        <v>6990.64</v>
      </c>
      <c r="I15" s="7">
        <v>255.16</v>
      </c>
      <c r="J15" s="7">
        <v>265</v>
      </c>
      <c r="K15" s="7">
        <v>99.44</v>
      </c>
      <c r="L15" s="7">
        <v>22.07</v>
      </c>
      <c r="M15" s="7">
        <v>8.6999999999999993</v>
      </c>
      <c r="N15" s="7">
        <v>5126.33</v>
      </c>
      <c r="O15" s="7">
        <v>54.24</v>
      </c>
      <c r="P15" s="7">
        <v>146.41999999999999</v>
      </c>
      <c r="Q15" s="7">
        <v>13.97</v>
      </c>
      <c r="R15" s="7">
        <v>55.72</v>
      </c>
      <c r="S15" s="7">
        <v>7.04</v>
      </c>
      <c r="T15" s="7">
        <v>52.32</v>
      </c>
      <c r="U15" s="7">
        <v>22.26</v>
      </c>
      <c r="V15" s="7">
        <v>13927.99</v>
      </c>
      <c r="W15" s="7">
        <v>102.79</v>
      </c>
      <c r="X15" s="7" t="s">
        <v>68</v>
      </c>
      <c r="Y15" s="7">
        <v>56.56</v>
      </c>
      <c r="Z15" s="7">
        <v>27.89</v>
      </c>
      <c r="AA15" s="7">
        <v>11.79</v>
      </c>
      <c r="AB15" s="7" t="s">
        <v>68</v>
      </c>
      <c r="AC15" s="7">
        <v>10.31</v>
      </c>
      <c r="AD15" s="7">
        <v>43.8</v>
      </c>
      <c r="AE15" s="7">
        <v>4.54</v>
      </c>
      <c r="AF15" s="7">
        <v>29.29</v>
      </c>
      <c r="AG15" s="7">
        <v>3.07</v>
      </c>
      <c r="AH15" s="7" t="s">
        <v>68</v>
      </c>
      <c r="AI15" s="7">
        <v>2.0699999999999998</v>
      </c>
      <c r="AJ15" s="7">
        <v>149.16</v>
      </c>
      <c r="AK15" s="7">
        <v>2.75</v>
      </c>
      <c r="AL15" s="7">
        <v>122.55</v>
      </c>
      <c r="AM15" s="7">
        <v>2.21</v>
      </c>
      <c r="AN15" s="7">
        <v>304.95</v>
      </c>
      <c r="AO15" s="7">
        <v>3.35</v>
      </c>
      <c r="AP15" s="7">
        <v>19.91</v>
      </c>
      <c r="AQ15" s="7">
        <v>1.75</v>
      </c>
      <c r="AR15" s="7" t="s">
        <v>68</v>
      </c>
      <c r="AS15" s="7">
        <v>4.47</v>
      </c>
      <c r="AT15" s="7" t="s">
        <v>68</v>
      </c>
      <c r="AU15" s="7">
        <v>4.17</v>
      </c>
      <c r="AV15" s="7" t="s">
        <v>68</v>
      </c>
      <c r="AW15" s="7">
        <v>5.98</v>
      </c>
      <c r="AX15" s="7" t="s">
        <v>68</v>
      </c>
      <c r="AY15" s="7">
        <v>4.46</v>
      </c>
      <c r="AZ15" s="7" t="s">
        <v>68</v>
      </c>
      <c r="BA15" s="7">
        <v>6.77</v>
      </c>
      <c r="BB15" s="7" t="s">
        <v>68</v>
      </c>
      <c r="BC15" s="7">
        <v>13.63</v>
      </c>
      <c r="BD15" s="7" t="s">
        <v>68</v>
      </c>
      <c r="BE15" s="7">
        <v>4.5</v>
      </c>
      <c r="BF15" s="7">
        <v>130.19</v>
      </c>
      <c r="BG15" s="7">
        <v>14.08</v>
      </c>
      <c r="BH15" s="7" t="s">
        <v>68</v>
      </c>
      <c r="BI15" s="7">
        <v>21.53</v>
      </c>
      <c r="BJ15" s="7" t="s">
        <v>68</v>
      </c>
      <c r="BK15" s="7">
        <v>3.16</v>
      </c>
      <c r="BL15" s="7" t="s">
        <v>68</v>
      </c>
      <c r="BM15" s="7">
        <v>4.75</v>
      </c>
      <c r="BN15" s="7">
        <v>41.92</v>
      </c>
      <c r="BO15" s="7">
        <v>3.24</v>
      </c>
      <c r="BP15" s="7">
        <v>14.76</v>
      </c>
      <c r="BQ15" s="7">
        <v>1.98</v>
      </c>
      <c r="BR15" s="7" t="s">
        <v>68</v>
      </c>
      <c r="BS15" s="7">
        <v>4.59</v>
      </c>
    </row>
    <row r="16" spans="1:71">
      <c r="A16" s="7">
        <v>14</v>
      </c>
      <c r="B16" s="7">
        <f t="shared" si="0"/>
        <v>1743.75</v>
      </c>
      <c r="C16" s="9" t="s">
        <v>85</v>
      </c>
      <c r="D16" s="7">
        <v>22242</v>
      </c>
      <c r="E16" s="7">
        <v>175.02</v>
      </c>
      <c r="F16" s="7" t="s">
        <v>68</v>
      </c>
      <c r="G16" s="7">
        <v>306.12</v>
      </c>
      <c r="H16" s="7">
        <v>6520</v>
      </c>
      <c r="I16" s="7">
        <v>239.95</v>
      </c>
      <c r="J16" s="7" t="s">
        <v>68</v>
      </c>
      <c r="K16" s="7">
        <v>146.55000000000001</v>
      </c>
      <c r="L16" s="7">
        <v>20.55</v>
      </c>
      <c r="M16" s="7">
        <v>8.35</v>
      </c>
      <c r="N16" s="7">
        <v>5059.2</v>
      </c>
      <c r="O16" s="7">
        <v>52.22</v>
      </c>
      <c r="P16" s="7">
        <v>141.13999999999999</v>
      </c>
      <c r="Q16" s="7">
        <v>13.43</v>
      </c>
      <c r="R16" s="7">
        <v>56.87</v>
      </c>
      <c r="S16" s="7">
        <v>6.84</v>
      </c>
      <c r="T16" s="7">
        <v>75.959999999999994</v>
      </c>
      <c r="U16" s="7">
        <v>23.37</v>
      </c>
      <c r="V16" s="7">
        <v>13343.15</v>
      </c>
      <c r="W16" s="7">
        <v>102.36</v>
      </c>
      <c r="X16" s="7" t="s">
        <v>68</v>
      </c>
      <c r="Y16" s="7">
        <v>56.51</v>
      </c>
      <c r="Z16" s="7">
        <v>40.21</v>
      </c>
      <c r="AA16" s="7">
        <v>12.13</v>
      </c>
      <c r="AB16" s="7">
        <v>14.85</v>
      </c>
      <c r="AC16" s="7">
        <v>7.15</v>
      </c>
      <c r="AD16" s="7">
        <v>41.31</v>
      </c>
      <c r="AE16" s="7">
        <v>4.55</v>
      </c>
      <c r="AF16" s="7">
        <v>31.04</v>
      </c>
      <c r="AG16" s="7">
        <v>2.88</v>
      </c>
      <c r="AH16" s="7" t="s">
        <v>68</v>
      </c>
      <c r="AI16" s="7">
        <v>2.13</v>
      </c>
      <c r="AJ16" s="7">
        <v>141.22</v>
      </c>
      <c r="AK16" s="7">
        <v>2.72</v>
      </c>
      <c r="AL16" s="7">
        <v>118.62</v>
      </c>
      <c r="AM16" s="7">
        <v>2.21</v>
      </c>
      <c r="AN16" s="7">
        <v>329.81</v>
      </c>
      <c r="AO16" s="7">
        <v>3.52</v>
      </c>
      <c r="AP16" s="7">
        <v>20.87</v>
      </c>
      <c r="AQ16" s="7">
        <v>1.81</v>
      </c>
      <c r="AR16" s="7" t="s">
        <v>68</v>
      </c>
      <c r="AS16" s="7">
        <v>4.4400000000000004</v>
      </c>
      <c r="AT16" s="7" t="s">
        <v>68</v>
      </c>
      <c r="AU16" s="7">
        <v>4.1500000000000004</v>
      </c>
      <c r="AV16" s="7" t="s">
        <v>68</v>
      </c>
      <c r="AW16" s="7">
        <v>5.92</v>
      </c>
      <c r="AX16" s="7">
        <v>6.36</v>
      </c>
      <c r="AY16" s="7">
        <v>2.99</v>
      </c>
      <c r="AZ16" s="7" t="s">
        <v>68</v>
      </c>
      <c r="BA16" s="7">
        <v>6.78</v>
      </c>
      <c r="BB16" s="7">
        <v>14.19</v>
      </c>
      <c r="BC16" s="7">
        <v>9.19</v>
      </c>
      <c r="BD16" s="7">
        <v>14.51</v>
      </c>
      <c r="BE16" s="7">
        <v>3.03</v>
      </c>
      <c r="BF16" s="7">
        <v>229.86</v>
      </c>
      <c r="BG16" s="7">
        <v>14.41</v>
      </c>
      <c r="BH16" s="7" t="s">
        <v>68</v>
      </c>
      <c r="BI16" s="7">
        <v>21.62</v>
      </c>
      <c r="BJ16" s="7" t="s">
        <v>68</v>
      </c>
      <c r="BK16" s="7">
        <v>3.2</v>
      </c>
      <c r="BL16" s="7">
        <v>6.24</v>
      </c>
      <c r="BM16" s="7">
        <v>3.31</v>
      </c>
      <c r="BN16" s="7">
        <v>26.27</v>
      </c>
      <c r="BO16" s="7">
        <v>2.85</v>
      </c>
      <c r="BP16" s="7">
        <v>16.62</v>
      </c>
      <c r="BQ16" s="7">
        <v>2.02</v>
      </c>
      <c r="BR16" s="7" t="s">
        <v>68</v>
      </c>
      <c r="BS16" s="7">
        <v>4.6100000000000003</v>
      </c>
    </row>
    <row r="17" spans="1:71">
      <c r="A17" s="7">
        <v>15</v>
      </c>
      <c r="B17" s="7">
        <f t="shared" si="0"/>
        <v>1723.75</v>
      </c>
      <c r="C17" s="9" t="s">
        <v>86</v>
      </c>
      <c r="D17" s="7">
        <v>22864.86</v>
      </c>
      <c r="E17" s="7">
        <v>179.77</v>
      </c>
      <c r="F17" s="7" t="s">
        <v>68</v>
      </c>
      <c r="G17" s="7">
        <v>314.77999999999997</v>
      </c>
      <c r="H17" s="7">
        <v>6234.26</v>
      </c>
      <c r="I17" s="7">
        <v>238.56</v>
      </c>
      <c r="J17" s="7" t="s">
        <v>68</v>
      </c>
      <c r="K17" s="7">
        <v>149.02000000000001</v>
      </c>
      <c r="L17" s="7">
        <v>26.13</v>
      </c>
      <c r="M17" s="7">
        <v>8.6199999999999992</v>
      </c>
      <c r="N17" s="7">
        <v>5321.77</v>
      </c>
      <c r="O17" s="7">
        <v>54.18</v>
      </c>
      <c r="P17" s="7">
        <v>153.91</v>
      </c>
      <c r="Q17" s="7">
        <v>13.95</v>
      </c>
      <c r="R17" s="7">
        <v>53.71</v>
      </c>
      <c r="S17" s="7">
        <v>6.93</v>
      </c>
      <c r="T17" s="7">
        <v>82.93</v>
      </c>
      <c r="U17" s="7">
        <v>23.33</v>
      </c>
      <c r="V17" s="7">
        <v>13275.07</v>
      </c>
      <c r="W17" s="7">
        <v>102.42</v>
      </c>
      <c r="X17" s="7" t="s">
        <v>68</v>
      </c>
      <c r="Y17" s="7">
        <v>56.7</v>
      </c>
      <c r="Z17" s="7">
        <v>38.049999999999997</v>
      </c>
      <c r="AA17" s="7">
        <v>12.15</v>
      </c>
      <c r="AB17" s="7">
        <v>11.5</v>
      </c>
      <c r="AC17" s="7">
        <v>7.1</v>
      </c>
      <c r="AD17" s="7">
        <v>38.03</v>
      </c>
      <c r="AE17" s="7">
        <v>4.49</v>
      </c>
      <c r="AF17" s="7">
        <v>30.26</v>
      </c>
      <c r="AG17" s="7">
        <v>2.79</v>
      </c>
      <c r="AH17" s="7" t="s">
        <v>68</v>
      </c>
      <c r="AI17" s="7">
        <v>2.0499999999999998</v>
      </c>
      <c r="AJ17" s="7">
        <v>142.25</v>
      </c>
      <c r="AK17" s="7">
        <v>2.75</v>
      </c>
      <c r="AL17" s="7">
        <v>119.02</v>
      </c>
      <c r="AM17" s="7">
        <v>2.2200000000000002</v>
      </c>
      <c r="AN17" s="7">
        <v>342.21</v>
      </c>
      <c r="AO17" s="7">
        <v>3.59</v>
      </c>
      <c r="AP17" s="7">
        <v>20.85</v>
      </c>
      <c r="AQ17" s="7">
        <v>1.82</v>
      </c>
      <c r="AR17" s="7" t="s">
        <v>68</v>
      </c>
      <c r="AS17" s="7">
        <v>4.41</v>
      </c>
      <c r="AT17" s="7" t="s">
        <v>68</v>
      </c>
      <c r="AU17" s="7">
        <v>4.0599999999999996</v>
      </c>
      <c r="AV17" s="7" t="s">
        <v>68</v>
      </c>
      <c r="AW17" s="7">
        <v>5.91</v>
      </c>
      <c r="AX17" s="7" t="s">
        <v>68</v>
      </c>
      <c r="AY17" s="7">
        <v>4.4400000000000004</v>
      </c>
      <c r="AZ17" s="7" t="s">
        <v>68</v>
      </c>
      <c r="BA17" s="7">
        <v>6.77</v>
      </c>
      <c r="BB17" s="7" t="s">
        <v>68</v>
      </c>
      <c r="BC17" s="7">
        <v>13.67</v>
      </c>
      <c r="BD17" s="7">
        <v>5.12</v>
      </c>
      <c r="BE17" s="7">
        <v>2.99</v>
      </c>
      <c r="BF17" s="7">
        <v>183.7</v>
      </c>
      <c r="BG17" s="7">
        <v>14.2</v>
      </c>
      <c r="BH17" s="7" t="s">
        <v>68</v>
      </c>
      <c r="BI17" s="7">
        <v>21.95</v>
      </c>
      <c r="BJ17" s="7">
        <v>3.47</v>
      </c>
      <c r="BK17" s="7">
        <v>2.16</v>
      </c>
      <c r="BL17" s="7" t="s">
        <v>68</v>
      </c>
      <c r="BM17" s="7">
        <v>4.95</v>
      </c>
      <c r="BN17" s="7">
        <v>22.31</v>
      </c>
      <c r="BO17" s="7">
        <v>2.72</v>
      </c>
      <c r="BP17" s="7">
        <v>14.7</v>
      </c>
      <c r="BQ17" s="7">
        <v>1.97</v>
      </c>
      <c r="BR17" s="7">
        <v>5.0999999999999996</v>
      </c>
      <c r="BS17" s="7">
        <v>3.12</v>
      </c>
    </row>
    <row r="18" spans="1:71">
      <c r="A18" s="7">
        <v>16</v>
      </c>
      <c r="B18" s="7">
        <f t="shared" si="0"/>
        <v>1703.75</v>
      </c>
      <c r="C18" s="9" t="s">
        <v>87</v>
      </c>
      <c r="D18" s="7">
        <v>22690.87</v>
      </c>
      <c r="E18" s="7">
        <v>180.74</v>
      </c>
      <c r="F18" s="7" t="s">
        <v>68</v>
      </c>
      <c r="G18" s="7">
        <v>313.81</v>
      </c>
      <c r="H18" s="7">
        <v>7085.01</v>
      </c>
      <c r="I18" s="7">
        <v>254.91</v>
      </c>
      <c r="J18" s="7" t="s">
        <v>68</v>
      </c>
      <c r="K18" s="7">
        <v>151.61000000000001</v>
      </c>
      <c r="L18" s="7">
        <v>30.05</v>
      </c>
      <c r="M18" s="7">
        <v>8.77</v>
      </c>
      <c r="N18" s="7">
        <v>5248.9</v>
      </c>
      <c r="O18" s="7">
        <v>54.47</v>
      </c>
      <c r="P18" s="7">
        <v>157.69</v>
      </c>
      <c r="Q18" s="7">
        <v>14.08</v>
      </c>
      <c r="R18" s="7">
        <v>62.3</v>
      </c>
      <c r="S18" s="7">
        <v>7.09</v>
      </c>
      <c r="T18" s="7">
        <v>70.63</v>
      </c>
      <c r="U18" s="7">
        <v>23.14</v>
      </c>
      <c r="V18" s="7">
        <v>13857.18</v>
      </c>
      <c r="W18" s="7">
        <v>104.59</v>
      </c>
      <c r="X18" s="7" t="s">
        <v>68</v>
      </c>
      <c r="Y18" s="7">
        <v>57.73</v>
      </c>
      <c r="Z18" s="7">
        <v>29.22</v>
      </c>
      <c r="AA18" s="7">
        <v>12.04</v>
      </c>
      <c r="AB18" s="7">
        <v>13.14</v>
      </c>
      <c r="AC18" s="7">
        <v>7.13</v>
      </c>
      <c r="AD18" s="7">
        <v>41.87</v>
      </c>
      <c r="AE18" s="7">
        <v>4.5999999999999996</v>
      </c>
      <c r="AF18" s="7">
        <v>35.22</v>
      </c>
      <c r="AG18" s="7">
        <v>3.22</v>
      </c>
      <c r="AH18" s="7" t="s">
        <v>68</v>
      </c>
      <c r="AI18" s="7">
        <v>2.13</v>
      </c>
      <c r="AJ18" s="7">
        <v>145.18</v>
      </c>
      <c r="AK18" s="7">
        <v>2.77</v>
      </c>
      <c r="AL18" s="7">
        <v>118.08</v>
      </c>
      <c r="AM18" s="7">
        <v>2.2200000000000002</v>
      </c>
      <c r="AN18" s="7">
        <v>322.95999999999998</v>
      </c>
      <c r="AO18" s="7">
        <v>3.5</v>
      </c>
      <c r="AP18" s="7">
        <v>18.48</v>
      </c>
      <c r="AQ18" s="7">
        <v>1.79</v>
      </c>
      <c r="AR18" s="7" t="s">
        <v>68</v>
      </c>
      <c r="AS18" s="7">
        <v>4.3899999999999997</v>
      </c>
      <c r="AT18" s="7" t="s">
        <v>68</v>
      </c>
      <c r="AU18" s="7">
        <v>4.13</v>
      </c>
      <c r="AV18" s="7" t="s">
        <v>68</v>
      </c>
      <c r="AW18" s="7">
        <v>5.99</v>
      </c>
      <c r="AX18" s="7" t="s">
        <v>68</v>
      </c>
      <c r="AY18" s="7">
        <v>4.47</v>
      </c>
      <c r="AZ18" s="7" t="s">
        <v>68</v>
      </c>
      <c r="BA18" s="7">
        <v>6.87</v>
      </c>
      <c r="BB18" s="7" t="s">
        <v>68</v>
      </c>
      <c r="BC18" s="7">
        <v>13.81</v>
      </c>
      <c r="BD18" s="7">
        <v>9.75</v>
      </c>
      <c r="BE18" s="7">
        <v>3.03</v>
      </c>
      <c r="BF18" s="7">
        <v>206.4</v>
      </c>
      <c r="BG18" s="7">
        <v>14.38</v>
      </c>
      <c r="BH18" s="7" t="s">
        <v>68</v>
      </c>
      <c r="BI18" s="7">
        <v>22.08</v>
      </c>
      <c r="BJ18" s="7" t="s">
        <v>68</v>
      </c>
      <c r="BK18" s="7">
        <v>3.15</v>
      </c>
      <c r="BL18" s="7" t="s">
        <v>68</v>
      </c>
      <c r="BM18" s="7">
        <v>4.95</v>
      </c>
      <c r="BN18" s="7">
        <v>41.11</v>
      </c>
      <c r="BO18" s="7">
        <v>3.29</v>
      </c>
      <c r="BP18" s="7">
        <v>16.09</v>
      </c>
      <c r="BQ18" s="7">
        <v>2.04</v>
      </c>
      <c r="BR18" s="7" t="s">
        <v>68</v>
      </c>
      <c r="BS18" s="7">
        <v>4.68</v>
      </c>
    </row>
    <row r="19" spans="1:71">
      <c r="A19" s="7">
        <v>17</v>
      </c>
      <c r="B19" s="7">
        <f t="shared" si="0"/>
        <v>1683.75</v>
      </c>
      <c r="C19" s="9" t="s">
        <v>88</v>
      </c>
      <c r="D19" s="7">
        <v>23200.61</v>
      </c>
      <c r="E19" s="7">
        <v>186.69</v>
      </c>
      <c r="F19" s="7" t="s">
        <v>68</v>
      </c>
      <c r="G19" s="7">
        <v>324.22000000000003</v>
      </c>
      <c r="H19" s="7">
        <v>6573.4</v>
      </c>
      <c r="I19" s="7">
        <v>252.14</v>
      </c>
      <c r="J19" s="7" t="s">
        <v>68</v>
      </c>
      <c r="K19" s="7">
        <v>154.19999999999999</v>
      </c>
      <c r="L19" s="7">
        <v>28.39</v>
      </c>
      <c r="M19" s="7">
        <v>9.0500000000000007</v>
      </c>
      <c r="N19" s="7">
        <v>5470.82</v>
      </c>
      <c r="O19" s="7">
        <v>56.53</v>
      </c>
      <c r="P19" s="7">
        <v>150</v>
      </c>
      <c r="Q19" s="7">
        <v>14.47</v>
      </c>
      <c r="R19" s="7">
        <v>54.22</v>
      </c>
      <c r="S19" s="7">
        <v>7.16</v>
      </c>
      <c r="T19" s="7">
        <v>63.4</v>
      </c>
      <c r="U19" s="7">
        <v>22.88</v>
      </c>
      <c r="V19" s="7">
        <v>14159.08</v>
      </c>
      <c r="W19" s="7">
        <v>105.51</v>
      </c>
      <c r="X19" s="7" t="s">
        <v>68</v>
      </c>
      <c r="Y19" s="7">
        <v>58.09</v>
      </c>
      <c r="Z19" s="7">
        <v>36.130000000000003</v>
      </c>
      <c r="AA19" s="7">
        <v>12.1</v>
      </c>
      <c r="AB19" s="7" t="s">
        <v>68</v>
      </c>
      <c r="AC19" s="7">
        <v>10.51</v>
      </c>
      <c r="AD19" s="7">
        <v>41.11</v>
      </c>
      <c r="AE19" s="7">
        <v>4.55</v>
      </c>
      <c r="AF19" s="7">
        <v>30.8</v>
      </c>
      <c r="AG19" s="7">
        <v>3.23</v>
      </c>
      <c r="AH19" s="7" t="s">
        <v>68</v>
      </c>
      <c r="AI19" s="7">
        <v>2.17</v>
      </c>
      <c r="AJ19" s="7">
        <v>146.16</v>
      </c>
      <c r="AK19" s="7">
        <v>2.77</v>
      </c>
      <c r="AL19" s="7">
        <v>119.41</v>
      </c>
      <c r="AM19" s="7">
        <v>2.2200000000000002</v>
      </c>
      <c r="AN19" s="7">
        <v>326.97000000000003</v>
      </c>
      <c r="AO19" s="7">
        <v>3.52</v>
      </c>
      <c r="AP19" s="7">
        <v>18.12</v>
      </c>
      <c r="AQ19" s="7">
        <v>1.78</v>
      </c>
      <c r="AR19" s="7" t="s">
        <v>68</v>
      </c>
      <c r="AS19" s="7">
        <v>4.4400000000000004</v>
      </c>
      <c r="AT19" s="7" t="s">
        <v>68</v>
      </c>
      <c r="AU19" s="7">
        <v>4.1900000000000004</v>
      </c>
      <c r="AV19" s="7" t="s">
        <v>68</v>
      </c>
      <c r="AW19" s="7">
        <v>6.05</v>
      </c>
      <c r="AX19" s="7">
        <v>6.2</v>
      </c>
      <c r="AY19" s="7">
        <v>3.02</v>
      </c>
      <c r="AZ19" s="7" t="s">
        <v>68</v>
      </c>
      <c r="BA19" s="7">
        <v>6.87</v>
      </c>
      <c r="BB19" s="7" t="s">
        <v>68</v>
      </c>
      <c r="BC19" s="7">
        <v>13.92</v>
      </c>
      <c r="BD19" s="7">
        <v>13.02</v>
      </c>
      <c r="BE19" s="7">
        <v>3.05</v>
      </c>
      <c r="BF19" s="7">
        <v>205.78</v>
      </c>
      <c r="BG19" s="7">
        <v>14.45</v>
      </c>
      <c r="BH19" s="7" t="s">
        <v>68</v>
      </c>
      <c r="BI19" s="7">
        <v>21.7</v>
      </c>
      <c r="BJ19" s="7" t="s">
        <v>68</v>
      </c>
      <c r="BK19" s="7">
        <v>3.24</v>
      </c>
      <c r="BL19" s="7" t="s">
        <v>68</v>
      </c>
      <c r="BM19" s="7">
        <v>4.9400000000000004</v>
      </c>
      <c r="BN19" s="7">
        <v>46.71</v>
      </c>
      <c r="BO19" s="7">
        <v>3.44</v>
      </c>
      <c r="BP19" s="7">
        <v>16.71</v>
      </c>
      <c r="BQ19" s="7">
        <v>2.0699999999999998</v>
      </c>
      <c r="BR19" s="7" t="s">
        <v>68</v>
      </c>
      <c r="BS19" s="7">
        <v>4.63</v>
      </c>
    </row>
    <row r="20" spans="1:71">
      <c r="A20" s="7">
        <v>18</v>
      </c>
      <c r="B20" s="7">
        <f t="shared" si="0"/>
        <v>1663.75</v>
      </c>
      <c r="C20" s="9" t="s">
        <v>89</v>
      </c>
      <c r="D20" s="7">
        <v>22409.919999999998</v>
      </c>
      <c r="E20" s="7">
        <v>180.97</v>
      </c>
      <c r="F20" s="7" t="s">
        <v>68</v>
      </c>
      <c r="G20" s="7">
        <v>326.37</v>
      </c>
      <c r="H20" s="7">
        <v>6204.11</v>
      </c>
      <c r="I20" s="7">
        <v>242.27</v>
      </c>
      <c r="J20" s="7" t="s">
        <v>68</v>
      </c>
      <c r="K20" s="7">
        <v>154.38</v>
      </c>
      <c r="L20" s="7">
        <v>24.25</v>
      </c>
      <c r="M20" s="7">
        <v>8.77</v>
      </c>
      <c r="N20" s="7">
        <v>5494.07</v>
      </c>
      <c r="O20" s="7">
        <v>55.74</v>
      </c>
      <c r="P20" s="7">
        <v>159.38</v>
      </c>
      <c r="Q20" s="7">
        <v>14.32</v>
      </c>
      <c r="R20" s="7">
        <v>54.44</v>
      </c>
      <c r="S20" s="7">
        <v>7.07</v>
      </c>
      <c r="T20" s="7">
        <v>76.86</v>
      </c>
      <c r="U20" s="7">
        <v>23.58</v>
      </c>
      <c r="V20" s="7">
        <v>13861.31</v>
      </c>
      <c r="W20" s="7">
        <v>105.34</v>
      </c>
      <c r="X20" s="7" t="s">
        <v>68</v>
      </c>
      <c r="Y20" s="7">
        <v>57.94</v>
      </c>
      <c r="Z20" s="7">
        <v>52.01</v>
      </c>
      <c r="AA20" s="7">
        <v>12.41</v>
      </c>
      <c r="AB20" s="7">
        <v>14.01</v>
      </c>
      <c r="AC20" s="7">
        <v>7.23</v>
      </c>
      <c r="AD20" s="7">
        <v>40.46</v>
      </c>
      <c r="AE20" s="7">
        <v>4.57</v>
      </c>
      <c r="AF20" s="7">
        <v>37.32</v>
      </c>
      <c r="AG20" s="7">
        <v>3.37</v>
      </c>
      <c r="AH20" s="7" t="s">
        <v>68</v>
      </c>
      <c r="AI20" s="7">
        <v>2.14</v>
      </c>
      <c r="AJ20" s="7">
        <v>137.1</v>
      </c>
      <c r="AK20" s="7">
        <v>2.72</v>
      </c>
      <c r="AL20" s="7">
        <v>113.77</v>
      </c>
      <c r="AM20" s="7">
        <v>2.19</v>
      </c>
      <c r="AN20" s="7">
        <v>347.17</v>
      </c>
      <c r="AO20" s="7">
        <v>3.63</v>
      </c>
      <c r="AP20" s="7">
        <v>17.350000000000001</v>
      </c>
      <c r="AQ20" s="7">
        <v>1.81</v>
      </c>
      <c r="AR20" s="7" t="s">
        <v>68</v>
      </c>
      <c r="AS20" s="7">
        <v>4.41</v>
      </c>
      <c r="AT20" s="7" t="s">
        <v>68</v>
      </c>
      <c r="AU20" s="7">
        <v>4.22</v>
      </c>
      <c r="AV20" s="7" t="s">
        <v>68</v>
      </c>
      <c r="AW20" s="7">
        <v>6.04</v>
      </c>
      <c r="AX20" s="7">
        <v>4.59</v>
      </c>
      <c r="AY20" s="7">
        <v>3.02</v>
      </c>
      <c r="AZ20" s="7" t="s">
        <v>68</v>
      </c>
      <c r="BA20" s="7">
        <v>6.89</v>
      </c>
      <c r="BB20" s="7">
        <v>18</v>
      </c>
      <c r="BC20" s="7">
        <v>9.33</v>
      </c>
      <c r="BD20" s="7">
        <v>16.32</v>
      </c>
      <c r="BE20" s="7">
        <v>3.07</v>
      </c>
      <c r="BF20" s="7">
        <v>227</v>
      </c>
      <c r="BG20" s="7">
        <v>14.58</v>
      </c>
      <c r="BH20" s="7" t="s">
        <v>68</v>
      </c>
      <c r="BI20" s="7">
        <v>21.85</v>
      </c>
      <c r="BJ20" s="7" t="s">
        <v>68</v>
      </c>
      <c r="BK20" s="7">
        <v>3.32</v>
      </c>
      <c r="BL20" s="7">
        <v>4.9800000000000004</v>
      </c>
      <c r="BM20" s="7">
        <v>3.31</v>
      </c>
      <c r="BN20" s="7">
        <v>47.06</v>
      </c>
      <c r="BO20" s="7">
        <v>3.47</v>
      </c>
      <c r="BP20" s="7">
        <v>15.48</v>
      </c>
      <c r="BQ20" s="7">
        <v>2.0499999999999998</v>
      </c>
      <c r="BR20" s="7">
        <v>5.22</v>
      </c>
      <c r="BS20" s="7">
        <v>3.11</v>
      </c>
    </row>
    <row r="21" spans="1:71">
      <c r="A21" s="7">
        <v>19</v>
      </c>
      <c r="B21" s="7">
        <f t="shared" si="0"/>
        <v>1643.75</v>
      </c>
      <c r="C21" s="9" t="s">
        <v>90</v>
      </c>
      <c r="D21" s="7">
        <v>21210.1</v>
      </c>
      <c r="E21" s="7">
        <v>171.11</v>
      </c>
      <c r="F21" s="7" t="s">
        <v>68</v>
      </c>
      <c r="G21" s="7">
        <v>323.61</v>
      </c>
      <c r="H21" s="7">
        <v>4831.47</v>
      </c>
      <c r="I21" s="7">
        <v>210.94</v>
      </c>
      <c r="J21" s="7" t="s">
        <v>68</v>
      </c>
      <c r="K21" s="7">
        <v>149.29</v>
      </c>
      <c r="L21" s="7">
        <v>21.32</v>
      </c>
      <c r="M21" s="7">
        <v>8.4</v>
      </c>
      <c r="N21" s="7">
        <v>5563.41</v>
      </c>
      <c r="O21" s="7">
        <v>54.3</v>
      </c>
      <c r="P21" s="7">
        <v>144.16</v>
      </c>
      <c r="Q21" s="7">
        <v>13.81</v>
      </c>
      <c r="R21" s="7">
        <v>50.94</v>
      </c>
      <c r="S21" s="7">
        <v>6.8</v>
      </c>
      <c r="T21" s="7">
        <v>78.569999999999993</v>
      </c>
      <c r="U21" s="7">
        <v>23.23</v>
      </c>
      <c r="V21" s="7">
        <v>12854.38</v>
      </c>
      <c r="W21" s="7">
        <v>100.7</v>
      </c>
      <c r="X21" s="7" t="s">
        <v>68</v>
      </c>
      <c r="Y21" s="7">
        <v>55.53</v>
      </c>
      <c r="Z21" s="7">
        <v>40.520000000000003</v>
      </c>
      <c r="AA21" s="7">
        <v>12.13</v>
      </c>
      <c r="AB21" s="7">
        <v>12.38</v>
      </c>
      <c r="AC21" s="7">
        <v>7.1</v>
      </c>
      <c r="AD21" s="7">
        <v>33.47</v>
      </c>
      <c r="AE21" s="7">
        <v>4.37</v>
      </c>
      <c r="AF21" s="7">
        <v>32.979999999999997</v>
      </c>
      <c r="AG21" s="7">
        <v>3.16</v>
      </c>
      <c r="AH21" s="7" t="s">
        <v>68</v>
      </c>
      <c r="AI21" s="7">
        <v>2.12</v>
      </c>
      <c r="AJ21" s="7">
        <v>125.66</v>
      </c>
      <c r="AK21" s="7">
        <v>2.59</v>
      </c>
      <c r="AL21" s="7">
        <v>105.89</v>
      </c>
      <c r="AM21" s="7">
        <v>2.11</v>
      </c>
      <c r="AN21" s="7">
        <v>388.77</v>
      </c>
      <c r="AO21" s="7">
        <v>3.78</v>
      </c>
      <c r="AP21" s="7">
        <v>14.54</v>
      </c>
      <c r="AQ21" s="7">
        <v>1.8</v>
      </c>
      <c r="AR21" s="7" t="s">
        <v>68</v>
      </c>
      <c r="AS21" s="7">
        <v>4.45</v>
      </c>
      <c r="AT21" s="7" t="s">
        <v>68</v>
      </c>
      <c r="AU21" s="7">
        <v>4.18</v>
      </c>
      <c r="AV21" s="7" t="s">
        <v>68</v>
      </c>
      <c r="AW21" s="7">
        <v>5.94</v>
      </c>
      <c r="AX21" s="7">
        <v>5.22</v>
      </c>
      <c r="AY21" s="7">
        <v>3</v>
      </c>
      <c r="AZ21" s="7" t="s">
        <v>68</v>
      </c>
      <c r="BA21" s="7">
        <v>6.83</v>
      </c>
      <c r="BB21" s="7">
        <v>22.05</v>
      </c>
      <c r="BC21" s="7">
        <v>9.2799999999999994</v>
      </c>
      <c r="BD21" s="7">
        <v>17.690000000000001</v>
      </c>
      <c r="BE21" s="7">
        <v>3.05</v>
      </c>
      <c r="BF21" s="7">
        <v>218.88</v>
      </c>
      <c r="BG21" s="7">
        <v>14.42</v>
      </c>
      <c r="BH21" s="7" t="s">
        <v>68</v>
      </c>
      <c r="BI21" s="7">
        <v>22.02</v>
      </c>
      <c r="BJ21" s="7" t="s">
        <v>68</v>
      </c>
      <c r="BK21" s="7">
        <v>3.2</v>
      </c>
      <c r="BL21" s="7" t="s">
        <v>68</v>
      </c>
      <c r="BM21" s="7">
        <v>4.91</v>
      </c>
      <c r="BN21" s="7">
        <v>40.51</v>
      </c>
      <c r="BO21" s="7">
        <v>3.27</v>
      </c>
      <c r="BP21" s="7">
        <v>15.85</v>
      </c>
      <c r="BQ21" s="7">
        <v>2.02</v>
      </c>
      <c r="BR21" s="7">
        <v>4.72</v>
      </c>
      <c r="BS21" s="7">
        <v>2.98</v>
      </c>
    </row>
    <row r="22" spans="1:71">
      <c r="A22" s="7">
        <v>20</v>
      </c>
      <c r="B22" s="7">
        <f t="shared" si="0"/>
        <v>1623.75</v>
      </c>
      <c r="C22" s="9" t="s">
        <v>91</v>
      </c>
      <c r="D22" s="7">
        <v>20708.93</v>
      </c>
      <c r="E22" s="7">
        <v>170.8</v>
      </c>
      <c r="F22" s="7" t="s">
        <v>68</v>
      </c>
      <c r="G22" s="7">
        <v>313.95999999999998</v>
      </c>
      <c r="H22" s="7">
        <v>4328.3100000000004</v>
      </c>
      <c r="I22" s="7">
        <v>203.27</v>
      </c>
      <c r="J22" s="7" t="s">
        <v>68</v>
      </c>
      <c r="K22" s="7">
        <v>151.4</v>
      </c>
      <c r="L22" s="7">
        <v>18.13</v>
      </c>
      <c r="M22" s="7">
        <v>8.25</v>
      </c>
      <c r="N22" s="7">
        <v>5527.28</v>
      </c>
      <c r="O22" s="7">
        <v>54.48</v>
      </c>
      <c r="P22" s="7">
        <v>139.30000000000001</v>
      </c>
      <c r="Q22" s="7">
        <v>13.82</v>
      </c>
      <c r="R22" s="7">
        <v>45.24</v>
      </c>
      <c r="S22" s="7">
        <v>6.8</v>
      </c>
      <c r="T22" s="7">
        <v>70.47</v>
      </c>
      <c r="U22" s="7">
        <v>23.19</v>
      </c>
      <c r="V22" s="7">
        <v>12385.16</v>
      </c>
      <c r="W22" s="7">
        <v>99.35</v>
      </c>
      <c r="X22" s="7" t="s">
        <v>68</v>
      </c>
      <c r="Y22" s="7">
        <v>55.14</v>
      </c>
      <c r="Z22" s="7">
        <v>33.46</v>
      </c>
      <c r="AA22" s="7">
        <v>12.09</v>
      </c>
      <c r="AB22" s="7">
        <v>10.84</v>
      </c>
      <c r="AC22" s="7">
        <v>7.08</v>
      </c>
      <c r="AD22" s="7">
        <v>39.5</v>
      </c>
      <c r="AE22" s="7">
        <v>4.5199999999999996</v>
      </c>
      <c r="AF22" s="7">
        <v>28.88</v>
      </c>
      <c r="AG22" s="7">
        <v>3</v>
      </c>
      <c r="AH22" s="7" t="s">
        <v>68</v>
      </c>
      <c r="AI22" s="7">
        <v>2.13</v>
      </c>
      <c r="AJ22" s="7">
        <v>116.9</v>
      </c>
      <c r="AK22" s="7">
        <v>2.52</v>
      </c>
      <c r="AL22" s="7">
        <v>98.97</v>
      </c>
      <c r="AM22" s="7">
        <v>2.0499999999999998</v>
      </c>
      <c r="AN22" s="7">
        <v>412.17</v>
      </c>
      <c r="AO22" s="7">
        <v>3.89</v>
      </c>
      <c r="AP22" s="7">
        <v>16.97</v>
      </c>
      <c r="AQ22" s="7">
        <v>1.84</v>
      </c>
      <c r="AR22" s="7" t="s">
        <v>68</v>
      </c>
      <c r="AS22" s="7">
        <v>4.4400000000000004</v>
      </c>
      <c r="AT22" s="7" t="s">
        <v>68</v>
      </c>
      <c r="AU22" s="7">
        <v>4.12</v>
      </c>
      <c r="AV22" s="7" t="s">
        <v>68</v>
      </c>
      <c r="AW22" s="7">
        <v>5.9</v>
      </c>
      <c r="AX22" s="7">
        <v>8.3800000000000008</v>
      </c>
      <c r="AY22" s="7">
        <v>3</v>
      </c>
      <c r="AZ22" s="7" t="s">
        <v>68</v>
      </c>
      <c r="BA22" s="7">
        <v>6.8</v>
      </c>
      <c r="BB22" s="7">
        <v>16.66</v>
      </c>
      <c r="BC22" s="7">
        <v>9.18</v>
      </c>
      <c r="BD22" s="7">
        <v>19.29</v>
      </c>
      <c r="BE22" s="7">
        <v>3.03</v>
      </c>
      <c r="BF22" s="7">
        <v>216.48</v>
      </c>
      <c r="BG22" s="7">
        <v>14.31</v>
      </c>
      <c r="BH22" s="7" t="s">
        <v>68</v>
      </c>
      <c r="BI22" s="7">
        <v>21.56</v>
      </c>
      <c r="BJ22" s="7">
        <v>3.35</v>
      </c>
      <c r="BK22" s="7">
        <v>2.1800000000000002</v>
      </c>
      <c r="BL22" s="7" t="s">
        <v>68</v>
      </c>
      <c r="BM22" s="7">
        <v>4.8</v>
      </c>
      <c r="BN22" s="7">
        <v>34.21</v>
      </c>
      <c r="BO22" s="7">
        <v>3.1</v>
      </c>
      <c r="BP22" s="7">
        <v>13.77</v>
      </c>
      <c r="BQ22" s="7">
        <v>1.95</v>
      </c>
      <c r="BR22" s="7">
        <v>4.9000000000000004</v>
      </c>
      <c r="BS22" s="7">
        <v>2.93</v>
      </c>
    </row>
    <row r="23" spans="1:71">
      <c r="A23" s="7">
        <v>21</v>
      </c>
      <c r="B23" s="7">
        <f t="shared" si="0"/>
        <v>1603.75</v>
      </c>
      <c r="C23" s="9" t="s">
        <v>92</v>
      </c>
      <c r="D23" s="7">
        <v>22438.62</v>
      </c>
      <c r="E23" s="7">
        <v>180.64</v>
      </c>
      <c r="F23" s="7" t="s">
        <v>68</v>
      </c>
      <c r="G23" s="7">
        <v>337.25</v>
      </c>
      <c r="H23" s="7">
        <v>3303</v>
      </c>
      <c r="I23" s="7">
        <v>185.85</v>
      </c>
      <c r="J23" s="7" t="s">
        <v>68</v>
      </c>
      <c r="K23" s="7">
        <v>153.81</v>
      </c>
      <c r="L23" s="7">
        <v>21.87</v>
      </c>
      <c r="M23" s="7">
        <v>8.66</v>
      </c>
      <c r="N23" s="7">
        <v>5542.37</v>
      </c>
      <c r="O23" s="7">
        <v>56.21</v>
      </c>
      <c r="P23" s="7">
        <v>155</v>
      </c>
      <c r="Q23" s="7">
        <v>14.43</v>
      </c>
      <c r="R23" s="7">
        <v>56.16</v>
      </c>
      <c r="S23" s="7">
        <v>7.08</v>
      </c>
      <c r="T23" s="7">
        <v>73.180000000000007</v>
      </c>
      <c r="U23" s="7">
        <v>23.64</v>
      </c>
      <c r="V23" s="7">
        <v>13399.68</v>
      </c>
      <c r="W23" s="7">
        <v>104.06</v>
      </c>
      <c r="X23" s="7" t="s">
        <v>68</v>
      </c>
      <c r="Y23" s="7">
        <v>57.6</v>
      </c>
      <c r="Z23" s="7">
        <v>45.43</v>
      </c>
      <c r="AA23" s="7">
        <v>12.36</v>
      </c>
      <c r="AB23" s="7" t="s">
        <v>68</v>
      </c>
      <c r="AC23" s="7">
        <v>10.71</v>
      </c>
      <c r="AD23" s="7">
        <v>35.020000000000003</v>
      </c>
      <c r="AE23" s="7">
        <v>4.45</v>
      </c>
      <c r="AF23" s="7">
        <v>29.67</v>
      </c>
      <c r="AG23" s="7">
        <v>3.21</v>
      </c>
      <c r="AH23" s="7" t="s">
        <v>68</v>
      </c>
      <c r="AI23" s="7">
        <v>2.1</v>
      </c>
      <c r="AJ23" s="7">
        <v>127.83</v>
      </c>
      <c r="AK23" s="7">
        <v>2.65</v>
      </c>
      <c r="AL23" s="7">
        <v>107.56</v>
      </c>
      <c r="AM23" s="7">
        <v>2.15</v>
      </c>
      <c r="AN23" s="7">
        <v>367.46</v>
      </c>
      <c r="AO23" s="7">
        <v>3.74</v>
      </c>
      <c r="AP23" s="7">
        <v>19.149999999999999</v>
      </c>
      <c r="AQ23" s="7">
        <v>1.84</v>
      </c>
      <c r="AR23" s="7" t="s">
        <v>68</v>
      </c>
      <c r="AS23" s="7">
        <v>4.3600000000000003</v>
      </c>
      <c r="AT23" s="7" t="s">
        <v>68</v>
      </c>
      <c r="AU23" s="7">
        <v>4.12</v>
      </c>
      <c r="AV23" s="7" t="s">
        <v>68</v>
      </c>
      <c r="AW23" s="7">
        <v>5.99</v>
      </c>
      <c r="AX23" s="7">
        <v>5.39</v>
      </c>
      <c r="AY23" s="7">
        <v>2.99</v>
      </c>
      <c r="AZ23" s="7">
        <v>7.79</v>
      </c>
      <c r="BA23" s="7">
        <v>4.59</v>
      </c>
      <c r="BB23" s="7">
        <v>18.149999999999999</v>
      </c>
      <c r="BC23" s="7">
        <v>9.24</v>
      </c>
      <c r="BD23" s="7">
        <v>20.260000000000002</v>
      </c>
      <c r="BE23" s="7">
        <v>3.06</v>
      </c>
      <c r="BF23" s="7">
        <v>259.58</v>
      </c>
      <c r="BG23" s="7">
        <v>14.59</v>
      </c>
      <c r="BH23" s="7" t="s">
        <v>68</v>
      </c>
      <c r="BI23" s="7">
        <v>21.99</v>
      </c>
      <c r="BJ23" s="7" t="s">
        <v>68</v>
      </c>
      <c r="BK23" s="7">
        <v>3.24</v>
      </c>
      <c r="BL23" s="7" t="s">
        <v>68</v>
      </c>
      <c r="BM23" s="7">
        <v>4.95</v>
      </c>
      <c r="BN23" s="7">
        <v>43.95</v>
      </c>
      <c r="BO23" s="7">
        <v>3.39</v>
      </c>
      <c r="BP23" s="7">
        <v>14.16</v>
      </c>
      <c r="BQ23" s="7">
        <v>2.0099999999999998</v>
      </c>
      <c r="BR23" s="7">
        <v>5.56</v>
      </c>
      <c r="BS23" s="7">
        <v>3.05</v>
      </c>
    </row>
    <row r="24" spans="1:71">
      <c r="A24" s="7">
        <v>22</v>
      </c>
      <c r="B24" s="7">
        <f t="shared" si="0"/>
        <v>1583.75</v>
      </c>
      <c r="C24" s="9" t="s">
        <v>93</v>
      </c>
      <c r="D24" s="7">
        <v>23093.29</v>
      </c>
      <c r="E24" s="7">
        <v>186.04</v>
      </c>
      <c r="F24" s="7" t="s">
        <v>68</v>
      </c>
      <c r="G24" s="7">
        <v>335</v>
      </c>
      <c r="H24" s="7">
        <v>2893.79</v>
      </c>
      <c r="I24" s="7">
        <v>179.75</v>
      </c>
      <c r="J24" s="7">
        <v>388.78</v>
      </c>
      <c r="K24" s="7">
        <v>101.4</v>
      </c>
      <c r="L24" s="7">
        <v>23.54</v>
      </c>
      <c r="M24" s="7">
        <v>9.19</v>
      </c>
      <c r="N24" s="7">
        <v>5635.83</v>
      </c>
      <c r="O24" s="7">
        <v>57.19</v>
      </c>
      <c r="P24" s="7">
        <v>160.91999999999999</v>
      </c>
      <c r="Q24" s="7">
        <v>14.66</v>
      </c>
      <c r="R24" s="7">
        <v>63</v>
      </c>
      <c r="S24" s="7">
        <v>7.24</v>
      </c>
      <c r="T24" s="7">
        <v>2484.2199999999998</v>
      </c>
      <c r="U24" s="7">
        <v>100.49</v>
      </c>
      <c r="V24" s="7">
        <v>10360.620000000001</v>
      </c>
      <c r="W24" s="7">
        <v>155.32</v>
      </c>
      <c r="X24" s="7">
        <v>3246.04</v>
      </c>
      <c r="Y24" s="7">
        <v>95.7</v>
      </c>
      <c r="Z24" s="7">
        <v>1201.22</v>
      </c>
      <c r="AA24" s="7">
        <v>43.65</v>
      </c>
      <c r="AB24" s="7">
        <v>1699.13</v>
      </c>
      <c r="AC24" s="7">
        <v>42.56</v>
      </c>
      <c r="AD24" s="7">
        <v>974.18</v>
      </c>
      <c r="AE24" s="7">
        <v>28.13</v>
      </c>
      <c r="AF24" s="7">
        <v>85.59</v>
      </c>
      <c r="AG24" s="7">
        <v>15.11</v>
      </c>
      <c r="AH24" s="7">
        <v>339.67</v>
      </c>
      <c r="AI24" s="7">
        <v>12.26</v>
      </c>
      <c r="AJ24" s="7">
        <v>342.07</v>
      </c>
      <c r="AK24" s="7">
        <v>7.64</v>
      </c>
      <c r="AL24" s="7">
        <v>119.77</v>
      </c>
      <c r="AM24" s="7">
        <v>4</v>
      </c>
      <c r="AN24" s="7">
        <v>111.05</v>
      </c>
      <c r="AO24" s="7">
        <v>5.22</v>
      </c>
      <c r="AP24" s="7">
        <v>45.13</v>
      </c>
      <c r="AQ24" s="7">
        <v>3.5</v>
      </c>
      <c r="AR24" s="7" t="s">
        <v>68</v>
      </c>
      <c r="AS24" s="7">
        <v>4.41</v>
      </c>
      <c r="AT24" s="7" t="s">
        <v>68</v>
      </c>
      <c r="AU24" s="7">
        <v>4.18</v>
      </c>
      <c r="AV24" s="7" t="s">
        <v>68</v>
      </c>
      <c r="AW24" s="7">
        <v>5.94</v>
      </c>
      <c r="AX24" s="7">
        <v>6.7</v>
      </c>
      <c r="AY24" s="7">
        <v>3.02</v>
      </c>
      <c r="AZ24" s="7" t="s">
        <v>68</v>
      </c>
      <c r="BA24" s="7">
        <v>6.84</v>
      </c>
      <c r="BB24" s="7">
        <v>14.76</v>
      </c>
      <c r="BC24" s="7">
        <v>9.25</v>
      </c>
      <c r="BD24" s="7">
        <v>16.93</v>
      </c>
      <c r="BE24" s="7">
        <v>3.05</v>
      </c>
      <c r="BF24" s="7">
        <v>225.02</v>
      </c>
      <c r="BG24" s="7">
        <v>14.48</v>
      </c>
      <c r="BH24" s="7">
        <v>1672.67</v>
      </c>
      <c r="BI24" s="7">
        <v>69.510000000000005</v>
      </c>
      <c r="BJ24" s="7">
        <v>396.8</v>
      </c>
      <c r="BK24" s="7">
        <v>18.18</v>
      </c>
      <c r="BL24" s="7">
        <v>487.92</v>
      </c>
      <c r="BM24" s="7">
        <v>21.27</v>
      </c>
      <c r="BN24" s="7">
        <v>583.64</v>
      </c>
      <c r="BO24" s="7">
        <v>19.07</v>
      </c>
      <c r="BP24" s="7">
        <v>836.06</v>
      </c>
      <c r="BQ24" s="7">
        <v>16.36</v>
      </c>
      <c r="BR24" s="7">
        <v>125.68</v>
      </c>
      <c r="BS24" s="7">
        <v>10.71</v>
      </c>
    </row>
    <row r="25" spans="1:71">
      <c r="A25" s="7">
        <v>23</v>
      </c>
      <c r="B25" s="7">
        <f t="shared" si="0"/>
        <v>1563.75</v>
      </c>
      <c r="C25" s="9" t="s">
        <v>94</v>
      </c>
      <c r="D25" s="7">
        <v>23454.16</v>
      </c>
      <c r="E25" s="7">
        <v>185.37</v>
      </c>
      <c r="F25" s="7" t="s">
        <v>68</v>
      </c>
      <c r="G25" s="7">
        <v>337.82</v>
      </c>
      <c r="H25" s="7">
        <v>3342.13</v>
      </c>
      <c r="I25" s="7">
        <v>187.62</v>
      </c>
      <c r="J25" s="7">
        <v>438.36</v>
      </c>
      <c r="K25" s="7">
        <v>100.2</v>
      </c>
      <c r="L25" s="7">
        <v>33.32</v>
      </c>
      <c r="M25" s="7">
        <v>9.27</v>
      </c>
      <c r="N25" s="7">
        <v>5640.75</v>
      </c>
      <c r="O25" s="7">
        <v>56.48</v>
      </c>
      <c r="P25" s="7">
        <v>173.34</v>
      </c>
      <c r="Q25" s="7">
        <v>14.56</v>
      </c>
      <c r="R25" s="7">
        <v>54.32</v>
      </c>
      <c r="S25" s="7">
        <v>7.08</v>
      </c>
      <c r="T25" s="7">
        <v>74.650000000000006</v>
      </c>
      <c r="U25" s="7">
        <v>23.26</v>
      </c>
      <c r="V25" s="7">
        <v>14580.17</v>
      </c>
      <c r="W25" s="7">
        <v>106.56</v>
      </c>
      <c r="X25" s="7" t="s">
        <v>68</v>
      </c>
      <c r="Y25" s="7">
        <v>58.31</v>
      </c>
      <c r="Z25" s="7">
        <v>36.29</v>
      </c>
      <c r="AA25" s="7">
        <v>12.05</v>
      </c>
      <c r="AB25" s="7" t="s">
        <v>68</v>
      </c>
      <c r="AC25" s="7">
        <v>10.53</v>
      </c>
      <c r="AD25" s="7">
        <v>43.15</v>
      </c>
      <c r="AE25" s="7">
        <v>4.5999999999999996</v>
      </c>
      <c r="AF25" s="7">
        <v>29.36</v>
      </c>
      <c r="AG25" s="7">
        <v>3.27</v>
      </c>
      <c r="AH25" s="7" t="s">
        <v>68</v>
      </c>
      <c r="AI25" s="7">
        <v>2.11</v>
      </c>
      <c r="AJ25" s="7">
        <v>141.57</v>
      </c>
      <c r="AK25" s="7">
        <v>2.73</v>
      </c>
      <c r="AL25" s="7">
        <v>117.45</v>
      </c>
      <c r="AM25" s="7">
        <v>2.2000000000000002</v>
      </c>
      <c r="AN25" s="7">
        <v>316.77999999999997</v>
      </c>
      <c r="AO25" s="7">
        <v>3.45</v>
      </c>
      <c r="AP25" s="7">
        <v>18.3</v>
      </c>
      <c r="AQ25" s="7">
        <v>1.78</v>
      </c>
      <c r="AR25" s="7" t="s">
        <v>68</v>
      </c>
      <c r="AS25" s="7">
        <v>4.3899999999999997</v>
      </c>
      <c r="AT25" s="7" t="s">
        <v>68</v>
      </c>
      <c r="AU25" s="7">
        <v>4.17</v>
      </c>
      <c r="AV25" s="7" t="s">
        <v>68</v>
      </c>
      <c r="AW25" s="7">
        <v>6</v>
      </c>
      <c r="AX25" s="7">
        <v>5.17</v>
      </c>
      <c r="AY25" s="7">
        <v>3.02</v>
      </c>
      <c r="AZ25" s="7" t="s">
        <v>68</v>
      </c>
      <c r="BA25" s="7">
        <v>6.91</v>
      </c>
      <c r="BB25" s="7" t="s">
        <v>68</v>
      </c>
      <c r="BC25" s="7">
        <v>13.94</v>
      </c>
      <c r="BD25" s="7">
        <v>14.31</v>
      </c>
      <c r="BE25" s="7">
        <v>3.07</v>
      </c>
      <c r="BF25" s="7">
        <v>229.72</v>
      </c>
      <c r="BG25" s="7">
        <v>14.62</v>
      </c>
      <c r="BH25" s="7" t="s">
        <v>68</v>
      </c>
      <c r="BI25" s="7">
        <v>22.08</v>
      </c>
      <c r="BJ25" s="7" t="s">
        <v>68</v>
      </c>
      <c r="BK25" s="7">
        <v>3.21</v>
      </c>
      <c r="BL25" s="7" t="s">
        <v>68</v>
      </c>
      <c r="BM25" s="7">
        <v>4.88</v>
      </c>
      <c r="BN25" s="7">
        <v>51.16</v>
      </c>
      <c r="BO25" s="7">
        <v>3.53</v>
      </c>
      <c r="BP25" s="7">
        <v>16.899999999999999</v>
      </c>
      <c r="BQ25" s="7">
        <v>2.0699999999999998</v>
      </c>
      <c r="BR25" s="7">
        <v>7.19</v>
      </c>
      <c r="BS25" s="7">
        <v>3.13</v>
      </c>
    </row>
    <row r="26" spans="1:71">
      <c r="A26" s="7">
        <v>24</v>
      </c>
      <c r="B26" s="7">
        <f t="shared" si="0"/>
        <v>1543.75</v>
      </c>
      <c r="C26" s="9" t="s">
        <v>95</v>
      </c>
      <c r="D26" s="7">
        <v>24333.34</v>
      </c>
      <c r="E26" s="7">
        <v>186.91</v>
      </c>
      <c r="F26" s="7" t="s">
        <v>68</v>
      </c>
      <c r="G26" s="7">
        <v>302.97000000000003</v>
      </c>
      <c r="H26" s="7">
        <v>2699.98</v>
      </c>
      <c r="I26" s="7">
        <v>170.68</v>
      </c>
      <c r="J26" s="7">
        <v>488.17</v>
      </c>
      <c r="K26" s="7">
        <v>99.32</v>
      </c>
      <c r="L26" s="7">
        <v>21.85</v>
      </c>
      <c r="M26" s="7">
        <v>9.0500000000000007</v>
      </c>
      <c r="N26" s="7">
        <v>5559.15</v>
      </c>
      <c r="O26" s="7">
        <v>55.99</v>
      </c>
      <c r="P26" s="7">
        <v>153.25</v>
      </c>
      <c r="Q26" s="7">
        <v>14.34</v>
      </c>
      <c r="R26" s="7">
        <v>76</v>
      </c>
      <c r="S26" s="7">
        <v>7.15</v>
      </c>
      <c r="T26" s="7">
        <v>81.349999999999994</v>
      </c>
      <c r="U26" s="7">
        <v>23.74</v>
      </c>
      <c r="V26" s="7">
        <v>13254.12</v>
      </c>
      <c r="W26" s="7">
        <v>103.12</v>
      </c>
      <c r="X26" s="7" t="s">
        <v>68</v>
      </c>
      <c r="Y26" s="7">
        <v>57.04</v>
      </c>
      <c r="Z26" s="7">
        <v>45.19</v>
      </c>
      <c r="AA26" s="7">
        <v>12.36</v>
      </c>
      <c r="AB26" s="7">
        <v>12.11</v>
      </c>
      <c r="AC26" s="7">
        <v>7.21</v>
      </c>
      <c r="AD26" s="7">
        <v>47.1</v>
      </c>
      <c r="AE26" s="7">
        <v>4.7699999999999996</v>
      </c>
      <c r="AF26" s="7">
        <v>28.44</v>
      </c>
      <c r="AG26" s="7">
        <v>3.36</v>
      </c>
      <c r="AH26" s="7" t="s">
        <v>68</v>
      </c>
      <c r="AI26" s="7">
        <v>2.16</v>
      </c>
      <c r="AJ26" s="7">
        <v>149.4</v>
      </c>
      <c r="AK26" s="7">
        <v>2.83</v>
      </c>
      <c r="AL26" s="7">
        <v>124.31</v>
      </c>
      <c r="AM26" s="7">
        <v>2.29</v>
      </c>
      <c r="AN26" s="7">
        <v>291.01</v>
      </c>
      <c r="AO26" s="7">
        <v>3.38</v>
      </c>
      <c r="AP26" s="7">
        <v>14.79</v>
      </c>
      <c r="AQ26" s="7">
        <v>1.75</v>
      </c>
      <c r="AR26" s="7" t="s">
        <v>68</v>
      </c>
      <c r="AS26" s="7">
        <v>4.51</v>
      </c>
      <c r="AT26" s="7" t="s">
        <v>68</v>
      </c>
      <c r="AU26" s="7">
        <v>4.24</v>
      </c>
      <c r="AV26" s="7" t="s">
        <v>68</v>
      </c>
      <c r="AW26" s="7">
        <v>6.04</v>
      </c>
      <c r="AX26" s="7">
        <v>6.18</v>
      </c>
      <c r="AY26" s="7">
        <v>3.04</v>
      </c>
      <c r="AZ26" s="7" t="s">
        <v>68</v>
      </c>
      <c r="BA26" s="7">
        <v>6.95</v>
      </c>
      <c r="BB26" s="7">
        <v>17.53</v>
      </c>
      <c r="BC26" s="7">
        <v>9.3699999999999992</v>
      </c>
      <c r="BD26" s="7">
        <v>17.54</v>
      </c>
      <c r="BE26" s="7">
        <v>3.09</v>
      </c>
      <c r="BF26" s="7">
        <v>258.60000000000002</v>
      </c>
      <c r="BG26" s="7">
        <v>14.79</v>
      </c>
      <c r="BH26" s="7" t="s">
        <v>68</v>
      </c>
      <c r="BI26" s="7">
        <v>22.45</v>
      </c>
      <c r="BJ26" s="7" t="s">
        <v>68</v>
      </c>
      <c r="BK26" s="7">
        <v>3.24</v>
      </c>
      <c r="BL26" s="7" t="s">
        <v>68</v>
      </c>
      <c r="BM26" s="7">
        <v>5.01</v>
      </c>
      <c r="BN26" s="7">
        <v>54.72</v>
      </c>
      <c r="BO26" s="7">
        <v>3.67</v>
      </c>
      <c r="BP26" s="7">
        <v>15.89</v>
      </c>
      <c r="BQ26" s="7">
        <v>2.08</v>
      </c>
      <c r="BR26" s="7">
        <v>5.86</v>
      </c>
      <c r="BS26" s="7">
        <v>3.21</v>
      </c>
    </row>
    <row r="27" spans="1:71">
      <c r="A27" s="7">
        <v>25</v>
      </c>
      <c r="B27" s="7">
        <f t="shared" si="0"/>
        <v>1523.75</v>
      </c>
      <c r="C27" s="9" t="s">
        <v>96</v>
      </c>
      <c r="D27" s="7">
        <v>25038.43</v>
      </c>
      <c r="E27" s="7">
        <v>189.61</v>
      </c>
      <c r="F27" s="7" t="s">
        <v>68</v>
      </c>
      <c r="G27" s="7">
        <v>305.62</v>
      </c>
      <c r="H27" s="7">
        <v>2579.66</v>
      </c>
      <c r="I27" s="7">
        <v>168.19</v>
      </c>
      <c r="J27" s="7">
        <v>542.05999999999995</v>
      </c>
      <c r="K27" s="7">
        <v>99</v>
      </c>
      <c r="L27" s="7">
        <v>29.58</v>
      </c>
      <c r="M27" s="7">
        <v>9.17</v>
      </c>
      <c r="N27" s="7">
        <v>5751.26</v>
      </c>
      <c r="O27" s="7">
        <v>57.08</v>
      </c>
      <c r="P27" s="7">
        <v>163.66999999999999</v>
      </c>
      <c r="Q27" s="7">
        <v>14.66</v>
      </c>
      <c r="R27" s="7">
        <v>65.040000000000006</v>
      </c>
      <c r="S27" s="7">
        <v>7.11</v>
      </c>
      <c r="T27" s="7">
        <v>79.7</v>
      </c>
      <c r="U27" s="7">
        <v>23.63</v>
      </c>
      <c r="V27" s="7">
        <v>13542.2</v>
      </c>
      <c r="W27" s="7">
        <v>104.18</v>
      </c>
      <c r="X27" s="7" t="s">
        <v>68</v>
      </c>
      <c r="Y27" s="7">
        <v>57.19</v>
      </c>
      <c r="Z27" s="7">
        <v>24.44</v>
      </c>
      <c r="AA27" s="7">
        <v>12.04</v>
      </c>
      <c r="AB27" s="7">
        <v>12.99</v>
      </c>
      <c r="AC27" s="7">
        <v>7.18</v>
      </c>
      <c r="AD27" s="7">
        <v>49.68</v>
      </c>
      <c r="AE27" s="7">
        <v>4.8099999999999996</v>
      </c>
      <c r="AF27" s="7">
        <v>24.95</v>
      </c>
      <c r="AG27" s="7">
        <v>3.13</v>
      </c>
      <c r="AH27" s="7" t="s">
        <v>68</v>
      </c>
      <c r="AI27" s="7">
        <v>2.14</v>
      </c>
      <c r="AJ27" s="7">
        <v>154.85</v>
      </c>
      <c r="AK27" s="7">
        <v>2.88</v>
      </c>
      <c r="AL27" s="7">
        <v>124.82</v>
      </c>
      <c r="AM27" s="7">
        <v>2.29</v>
      </c>
      <c r="AN27" s="7">
        <v>279.61</v>
      </c>
      <c r="AO27" s="7">
        <v>3.32</v>
      </c>
      <c r="AP27" s="7">
        <v>15.04</v>
      </c>
      <c r="AQ27" s="7">
        <v>1.75</v>
      </c>
      <c r="AR27" s="7" t="s">
        <v>68</v>
      </c>
      <c r="AS27" s="7">
        <v>4.55</v>
      </c>
      <c r="AT27" s="7" t="s">
        <v>68</v>
      </c>
      <c r="AU27" s="7">
        <v>4.2300000000000004</v>
      </c>
      <c r="AV27" s="7" t="s">
        <v>68</v>
      </c>
      <c r="AW27" s="7">
        <v>6.09</v>
      </c>
      <c r="AX27" s="7">
        <v>6.5</v>
      </c>
      <c r="AY27" s="7">
        <v>3.04</v>
      </c>
      <c r="AZ27" s="7" t="s">
        <v>68</v>
      </c>
      <c r="BA27" s="7">
        <v>6.91</v>
      </c>
      <c r="BB27" s="7">
        <v>20.170000000000002</v>
      </c>
      <c r="BC27" s="7">
        <v>9.3800000000000008</v>
      </c>
      <c r="BD27" s="7">
        <v>17.57</v>
      </c>
      <c r="BE27" s="7">
        <v>3.09</v>
      </c>
      <c r="BF27" s="7">
        <v>260.29000000000002</v>
      </c>
      <c r="BG27" s="7">
        <v>14.79</v>
      </c>
      <c r="BH27" s="7" t="s">
        <v>68</v>
      </c>
      <c r="BI27" s="7">
        <v>21.89</v>
      </c>
      <c r="BJ27" s="7" t="s">
        <v>68</v>
      </c>
      <c r="BK27" s="7">
        <v>3.28</v>
      </c>
      <c r="BL27" s="7" t="s">
        <v>68</v>
      </c>
      <c r="BM27" s="7">
        <v>4.93</v>
      </c>
      <c r="BN27" s="7">
        <v>44.88</v>
      </c>
      <c r="BO27" s="7">
        <v>3.42</v>
      </c>
      <c r="BP27" s="7">
        <v>16.95</v>
      </c>
      <c r="BQ27" s="7">
        <v>2.1</v>
      </c>
      <c r="BR27" s="7">
        <v>6.59</v>
      </c>
      <c r="BS27" s="7">
        <v>3.26</v>
      </c>
    </row>
    <row r="28" spans="1:71">
      <c r="A28" s="7">
        <v>26</v>
      </c>
      <c r="B28" s="7">
        <f t="shared" si="0"/>
        <v>1503.75</v>
      </c>
      <c r="C28" s="9" t="s">
        <v>97</v>
      </c>
      <c r="D28" s="7">
        <v>25526.97</v>
      </c>
      <c r="E28" s="7">
        <v>194.4</v>
      </c>
      <c r="F28" s="7" t="s">
        <v>68</v>
      </c>
      <c r="G28" s="7">
        <v>336.01</v>
      </c>
      <c r="H28" s="7">
        <v>2462.7800000000002</v>
      </c>
      <c r="I28" s="7">
        <v>168.38</v>
      </c>
      <c r="J28" s="7">
        <v>467.08</v>
      </c>
      <c r="K28" s="7">
        <v>101.46</v>
      </c>
      <c r="L28" s="7">
        <v>30.23</v>
      </c>
      <c r="M28" s="7">
        <v>9.36</v>
      </c>
      <c r="N28" s="7">
        <v>5778.25</v>
      </c>
      <c r="O28" s="7">
        <v>57.92</v>
      </c>
      <c r="P28" s="7">
        <v>163.78</v>
      </c>
      <c r="Q28" s="7">
        <v>14.86</v>
      </c>
      <c r="R28" s="7">
        <v>74.58</v>
      </c>
      <c r="S28" s="7">
        <v>7.32</v>
      </c>
      <c r="T28" s="7">
        <v>81.650000000000006</v>
      </c>
      <c r="U28" s="7">
        <v>23.55</v>
      </c>
      <c r="V28" s="7">
        <v>14134.6</v>
      </c>
      <c r="W28" s="7">
        <v>105.33</v>
      </c>
      <c r="X28" s="7" t="s">
        <v>68</v>
      </c>
      <c r="Y28" s="7">
        <v>58.33</v>
      </c>
      <c r="Z28" s="7">
        <v>30.89</v>
      </c>
      <c r="AA28" s="7">
        <v>12.05</v>
      </c>
      <c r="AB28" s="7">
        <v>16.46</v>
      </c>
      <c r="AC28" s="7">
        <v>7.19</v>
      </c>
      <c r="AD28" s="7">
        <v>47.6</v>
      </c>
      <c r="AE28" s="7">
        <v>4.71</v>
      </c>
      <c r="AF28" s="7">
        <v>20.420000000000002</v>
      </c>
      <c r="AG28" s="7">
        <v>2.81</v>
      </c>
      <c r="AH28" s="7">
        <v>2.19</v>
      </c>
      <c r="AI28" s="7">
        <v>1.45</v>
      </c>
      <c r="AJ28" s="7">
        <v>157.86000000000001</v>
      </c>
      <c r="AK28" s="7">
        <v>2.88</v>
      </c>
      <c r="AL28" s="7">
        <v>124</v>
      </c>
      <c r="AM28" s="7">
        <v>2.2599999999999998</v>
      </c>
      <c r="AN28" s="7">
        <v>286.48</v>
      </c>
      <c r="AO28" s="7">
        <v>3.32</v>
      </c>
      <c r="AP28" s="7">
        <v>12.58</v>
      </c>
      <c r="AQ28" s="7">
        <v>1.72</v>
      </c>
      <c r="AR28" s="7" t="s">
        <v>68</v>
      </c>
      <c r="AS28" s="7">
        <v>4.4000000000000004</v>
      </c>
      <c r="AT28" s="7" t="s">
        <v>68</v>
      </c>
      <c r="AU28" s="7">
        <v>4.09</v>
      </c>
      <c r="AV28" s="7" t="s">
        <v>68</v>
      </c>
      <c r="AW28" s="7">
        <v>5.86</v>
      </c>
      <c r="AX28" s="7">
        <v>5.01</v>
      </c>
      <c r="AY28" s="7">
        <v>2.98</v>
      </c>
      <c r="AZ28" s="7" t="s">
        <v>68</v>
      </c>
      <c r="BA28" s="7">
        <v>6.76</v>
      </c>
      <c r="BB28" s="7" t="s">
        <v>68</v>
      </c>
      <c r="BC28" s="7">
        <v>13.73</v>
      </c>
      <c r="BD28" s="7">
        <v>10.98</v>
      </c>
      <c r="BE28" s="7">
        <v>3.02</v>
      </c>
      <c r="BF28" s="7">
        <v>232.75</v>
      </c>
      <c r="BG28" s="7">
        <v>14.46</v>
      </c>
      <c r="BH28" s="7" t="s">
        <v>68</v>
      </c>
      <c r="BI28" s="7">
        <v>21.79</v>
      </c>
      <c r="BJ28" s="7" t="s">
        <v>68</v>
      </c>
      <c r="BK28" s="7">
        <v>3.17</v>
      </c>
      <c r="BL28" s="7" t="s">
        <v>68</v>
      </c>
      <c r="BM28" s="7">
        <v>4.8499999999999996</v>
      </c>
      <c r="BN28" s="7">
        <v>32.979999999999997</v>
      </c>
      <c r="BO28" s="7">
        <v>3.07</v>
      </c>
      <c r="BP28" s="7">
        <v>17.21</v>
      </c>
      <c r="BQ28" s="7">
        <v>2.06</v>
      </c>
      <c r="BR28" s="7">
        <v>7.29</v>
      </c>
      <c r="BS28" s="7">
        <v>3.25</v>
      </c>
    </row>
    <row r="29" spans="1:71">
      <c r="A29" s="7">
        <v>27</v>
      </c>
      <c r="B29" s="7">
        <f t="shared" si="0"/>
        <v>1483.75</v>
      </c>
      <c r="C29" s="9" t="s">
        <v>98</v>
      </c>
      <c r="D29" s="7">
        <v>25984.48</v>
      </c>
      <c r="E29" s="7">
        <v>193.55</v>
      </c>
      <c r="F29" s="7" t="s">
        <v>68</v>
      </c>
      <c r="G29" s="7">
        <v>328.61</v>
      </c>
      <c r="H29" s="7">
        <v>2490.8000000000002</v>
      </c>
      <c r="I29" s="7">
        <v>166.81</v>
      </c>
      <c r="J29" s="7">
        <v>707.57</v>
      </c>
      <c r="K29" s="7">
        <v>99.59</v>
      </c>
      <c r="L29" s="7">
        <v>25.21</v>
      </c>
      <c r="M29" s="7">
        <v>9.31</v>
      </c>
      <c r="N29" s="7">
        <v>5747.55</v>
      </c>
      <c r="O29" s="7">
        <v>56.88</v>
      </c>
      <c r="P29" s="7">
        <v>168.14</v>
      </c>
      <c r="Q29" s="7">
        <v>14.61</v>
      </c>
      <c r="R29" s="7">
        <v>70.72</v>
      </c>
      <c r="S29" s="7">
        <v>7.18</v>
      </c>
      <c r="T29" s="7">
        <v>67.849999999999994</v>
      </c>
      <c r="U29" s="7">
        <v>23.27</v>
      </c>
      <c r="V29" s="7">
        <v>14379.01</v>
      </c>
      <c r="W29" s="7">
        <v>106.64</v>
      </c>
      <c r="X29" s="7">
        <v>73.53</v>
      </c>
      <c r="Y29" s="7">
        <v>39.61</v>
      </c>
      <c r="Z29" s="7">
        <v>33.24</v>
      </c>
      <c r="AA29" s="7">
        <v>12.18</v>
      </c>
      <c r="AB29" s="7" t="s">
        <v>68</v>
      </c>
      <c r="AC29" s="7">
        <v>10.61</v>
      </c>
      <c r="AD29" s="7">
        <v>50.65</v>
      </c>
      <c r="AE29" s="7">
        <v>4.82</v>
      </c>
      <c r="AF29" s="7">
        <v>13.54</v>
      </c>
      <c r="AG29" s="7">
        <v>2.5</v>
      </c>
      <c r="AH29" s="7" t="s">
        <v>68</v>
      </c>
      <c r="AI29" s="7">
        <v>2.09</v>
      </c>
      <c r="AJ29" s="7">
        <v>165.46</v>
      </c>
      <c r="AK29" s="7">
        <v>2.95</v>
      </c>
      <c r="AL29" s="7">
        <v>123.11</v>
      </c>
      <c r="AM29" s="7">
        <v>2.2599999999999998</v>
      </c>
      <c r="AN29" s="7">
        <v>274.54000000000002</v>
      </c>
      <c r="AO29" s="7">
        <v>3.28</v>
      </c>
      <c r="AP29" s="7">
        <v>14.58</v>
      </c>
      <c r="AQ29" s="7">
        <v>1.73</v>
      </c>
      <c r="AR29" s="7" t="s">
        <v>68</v>
      </c>
      <c r="AS29" s="7">
        <v>4.59</v>
      </c>
      <c r="AT29" s="7" t="s">
        <v>68</v>
      </c>
      <c r="AU29" s="7">
        <v>4.22</v>
      </c>
      <c r="AV29" s="7" t="s">
        <v>68</v>
      </c>
      <c r="AW29" s="7">
        <v>6.07</v>
      </c>
      <c r="AX29" s="7">
        <v>4.5599999999999996</v>
      </c>
      <c r="AY29" s="7">
        <v>3.03</v>
      </c>
      <c r="AZ29" s="7" t="s">
        <v>68</v>
      </c>
      <c r="BA29" s="7">
        <v>6.91</v>
      </c>
      <c r="BB29" s="7" t="s">
        <v>68</v>
      </c>
      <c r="BC29" s="7">
        <v>14</v>
      </c>
      <c r="BD29" s="7">
        <v>12.17</v>
      </c>
      <c r="BE29" s="7">
        <v>3.08</v>
      </c>
      <c r="BF29" s="7">
        <v>237.84</v>
      </c>
      <c r="BG29" s="7">
        <v>14.74</v>
      </c>
      <c r="BH29" s="7" t="s">
        <v>68</v>
      </c>
      <c r="BI29" s="7">
        <v>22.23</v>
      </c>
      <c r="BJ29" s="7" t="s">
        <v>68</v>
      </c>
      <c r="BK29" s="7">
        <v>3.2</v>
      </c>
      <c r="BL29" s="7" t="s">
        <v>68</v>
      </c>
      <c r="BM29" s="7">
        <v>5.0199999999999996</v>
      </c>
      <c r="BN29" s="7">
        <v>23.97</v>
      </c>
      <c r="BO29" s="7">
        <v>2.79</v>
      </c>
      <c r="BP29" s="7">
        <v>16.690000000000001</v>
      </c>
      <c r="BQ29" s="7">
        <v>2.0499999999999998</v>
      </c>
      <c r="BR29" s="7">
        <v>4.9800000000000004</v>
      </c>
      <c r="BS29" s="7">
        <v>3.28</v>
      </c>
    </row>
    <row r="30" spans="1:71">
      <c r="A30" s="7">
        <v>28</v>
      </c>
      <c r="B30" s="7">
        <f t="shared" si="0"/>
        <v>1463.75</v>
      </c>
      <c r="C30" s="9" t="s">
        <v>99</v>
      </c>
      <c r="D30" s="7">
        <v>26222.47</v>
      </c>
      <c r="E30" s="7">
        <v>195.47</v>
      </c>
      <c r="F30" s="7" t="s">
        <v>68</v>
      </c>
      <c r="G30" s="7">
        <v>302.16000000000003</v>
      </c>
      <c r="H30" s="7">
        <v>2729.54</v>
      </c>
      <c r="I30" s="7">
        <v>173.38</v>
      </c>
      <c r="J30" s="7">
        <v>605.1</v>
      </c>
      <c r="K30" s="7">
        <v>99.59</v>
      </c>
      <c r="L30" s="7">
        <v>34.08</v>
      </c>
      <c r="M30" s="7">
        <v>9.39</v>
      </c>
      <c r="N30" s="7">
        <v>5606.98</v>
      </c>
      <c r="O30" s="7">
        <v>56.76</v>
      </c>
      <c r="P30" s="7">
        <v>158.72</v>
      </c>
      <c r="Q30" s="7">
        <v>14.57</v>
      </c>
      <c r="R30" s="7">
        <v>70.099999999999994</v>
      </c>
      <c r="S30" s="7">
        <v>7.18</v>
      </c>
      <c r="T30" s="7">
        <v>107.51</v>
      </c>
      <c r="U30" s="7">
        <v>24.08</v>
      </c>
      <c r="V30" s="7">
        <v>14224.34</v>
      </c>
      <c r="W30" s="7">
        <v>105.57</v>
      </c>
      <c r="X30" s="7" t="s">
        <v>68</v>
      </c>
      <c r="Y30" s="7">
        <v>57.8</v>
      </c>
      <c r="Z30" s="7">
        <v>44.73</v>
      </c>
      <c r="AA30" s="7">
        <v>12.15</v>
      </c>
      <c r="AB30" s="7" t="s">
        <v>68</v>
      </c>
      <c r="AC30" s="7">
        <v>10.58</v>
      </c>
      <c r="AD30" s="7">
        <v>52.03</v>
      </c>
      <c r="AE30" s="7">
        <v>4.82</v>
      </c>
      <c r="AF30" s="7">
        <v>16.100000000000001</v>
      </c>
      <c r="AG30" s="7">
        <v>2.65</v>
      </c>
      <c r="AH30" s="7" t="s">
        <v>68</v>
      </c>
      <c r="AI30" s="7">
        <v>2.0699999999999998</v>
      </c>
      <c r="AJ30" s="7">
        <v>167.46</v>
      </c>
      <c r="AK30" s="7">
        <v>2.96</v>
      </c>
      <c r="AL30" s="7">
        <v>123.3</v>
      </c>
      <c r="AM30" s="7">
        <v>2.25</v>
      </c>
      <c r="AN30" s="7">
        <v>263.99</v>
      </c>
      <c r="AO30" s="7">
        <v>3.21</v>
      </c>
      <c r="AP30" s="7">
        <v>8.27</v>
      </c>
      <c r="AQ30" s="7">
        <v>1.66</v>
      </c>
      <c r="AR30" s="7" t="s">
        <v>68</v>
      </c>
      <c r="AS30" s="7">
        <v>4.54</v>
      </c>
      <c r="AT30" s="7" t="s">
        <v>68</v>
      </c>
      <c r="AU30" s="7">
        <v>4.25</v>
      </c>
      <c r="AV30" s="7">
        <v>6.73</v>
      </c>
      <c r="AW30" s="7">
        <v>4.1100000000000003</v>
      </c>
      <c r="AX30" s="7">
        <v>6.77</v>
      </c>
      <c r="AY30" s="7">
        <v>3.05</v>
      </c>
      <c r="AZ30" s="7">
        <v>10.67</v>
      </c>
      <c r="BA30" s="7">
        <v>4.6900000000000004</v>
      </c>
      <c r="BB30" s="7">
        <v>36.15</v>
      </c>
      <c r="BC30" s="7">
        <v>9.51</v>
      </c>
      <c r="BD30" s="7">
        <v>21.98</v>
      </c>
      <c r="BE30" s="7">
        <v>3.11</v>
      </c>
      <c r="BF30" s="7">
        <v>301.31</v>
      </c>
      <c r="BG30" s="7">
        <v>15</v>
      </c>
      <c r="BH30" s="7" t="s">
        <v>68</v>
      </c>
      <c r="BI30" s="7">
        <v>22</v>
      </c>
      <c r="BJ30" s="7" t="s">
        <v>68</v>
      </c>
      <c r="BK30" s="7">
        <v>3.09</v>
      </c>
      <c r="BL30" s="7" t="s">
        <v>68</v>
      </c>
      <c r="BM30" s="7">
        <v>4.9000000000000004</v>
      </c>
      <c r="BN30" s="7">
        <v>29.43</v>
      </c>
      <c r="BO30" s="7">
        <v>2.95</v>
      </c>
      <c r="BP30" s="7">
        <v>15.35</v>
      </c>
      <c r="BQ30" s="7">
        <v>2.0099999999999998</v>
      </c>
      <c r="BR30" s="7">
        <v>8.01</v>
      </c>
      <c r="BS30" s="7">
        <v>3.32</v>
      </c>
    </row>
    <row r="31" spans="1:71">
      <c r="A31" s="7">
        <v>29</v>
      </c>
      <c r="B31" s="7">
        <f t="shared" si="0"/>
        <v>1443.75</v>
      </c>
      <c r="C31" s="9" t="s">
        <v>100</v>
      </c>
      <c r="D31" s="7">
        <v>26385</v>
      </c>
      <c r="E31" s="7">
        <v>196.6</v>
      </c>
      <c r="F31" s="7" t="s">
        <v>68</v>
      </c>
      <c r="G31" s="7">
        <v>327.76</v>
      </c>
      <c r="H31" s="7">
        <v>2604.96</v>
      </c>
      <c r="I31" s="7">
        <v>170.9</v>
      </c>
      <c r="J31" s="7">
        <v>615.1</v>
      </c>
      <c r="K31" s="7">
        <v>101.16</v>
      </c>
      <c r="L31" s="7">
        <v>38.200000000000003</v>
      </c>
      <c r="M31" s="7">
        <v>9.59</v>
      </c>
      <c r="N31" s="7">
        <v>5694.26</v>
      </c>
      <c r="O31" s="7">
        <v>57.37</v>
      </c>
      <c r="P31" s="7">
        <v>164.44</v>
      </c>
      <c r="Q31" s="7">
        <v>14.75</v>
      </c>
      <c r="R31" s="7">
        <v>77.06</v>
      </c>
      <c r="S31" s="7">
        <v>7.31</v>
      </c>
      <c r="T31" s="7">
        <v>62.39</v>
      </c>
      <c r="U31" s="7">
        <v>22.85</v>
      </c>
      <c r="V31" s="7">
        <v>13700.56</v>
      </c>
      <c r="W31" s="7">
        <v>102.78</v>
      </c>
      <c r="X31" s="7" t="s">
        <v>68</v>
      </c>
      <c r="Y31" s="7">
        <v>56.49</v>
      </c>
      <c r="Z31" s="7">
        <v>39.17</v>
      </c>
      <c r="AA31" s="7">
        <v>12.02</v>
      </c>
      <c r="AB31" s="7" t="s">
        <v>68</v>
      </c>
      <c r="AC31" s="7">
        <v>10.51</v>
      </c>
      <c r="AD31" s="7">
        <v>49.16</v>
      </c>
      <c r="AE31" s="7">
        <v>4.72</v>
      </c>
      <c r="AF31" s="7">
        <v>21.4</v>
      </c>
      <c r="AG31" s="7">
        <v>3.11</v>
      </c>
      <c r="AH31" s="7" t="s">
        <v>68</v>
      </c>
      <c r="AI31" s="7">
        <v>2.11</v>
      </c>
      <c r="AJ31" s="7">
        <v>171.61</v>
      </c>
      <c r="AK31" s="7">
        <v>2.96</v>
      </c>
      <c r="AL31" s="7">
        <v>127.74</v>
      </c>
      <c r="AM31" s="7">
        <v>2.27</v>
      </c>
      <c r="AN31" s="7">
        <v>254.14</v>
      </c>
      <c r="AO31" s="7">
        <v>3.14</v>
      </c>
      <c r="AP31" s="7">
        <v>11.46</v>
      </c>
      <c r="AQ31" s="7">
        <v>1.67</v>
      </c>
      <c r="AR31" s="7" t="s">
        <v>68</v>
      </c>
      <c r="AS31" s="7">
        <v>4.4800000000000004</v>
      </c>
      <c r="AT31" s="7" t="s">
        <v>68</v>
      </c>
      <c r="AU31" s="7">
        <v>4.12</v>
      </c>
      <c r="AV31" s="7" t="s">
        <v>68</v>
      </c>
      <c r="AW31" s="7">
        <v>6.04</v>
      </c>
      <c r="AX31" s="7" t="s">
        <v>68</v>
      </c>
      <c r="AY31" s="7">
        <v>4.53</v>
      </c>
      <c r="AZ31" s="7" t="s">
        <v>68</v>
      </c>
      <c r="BA31" s="7">
        <v>6.87</v>
      </c>
      <c r="BB31" s="7" t="s">
        <v>68</v>
      </c>
      <c r="BC31" s="7">
        <v>13.86</v>
      </c>
      <c r="BD31" s="7">
        <v>8.25</v>
      </c>
      <c r="BE31" s="7">
        <v>3.06</v>
      </c>
      <c r="BF31" s="7">
        <v>230.82</v>
      </c>
      <c r="BG31" s="7">
        <v>14.68</v>
      </c>
      <c r="BH31" s="7" t="s">
        <v>68</v>
      </c>
      <c r="BI31" s="7">
        <v>21.87</v>
      </c>
      <c r="BJ31" s="7">
        <v>3.96</v>
      </c>
      <c r="BK31" s="7">
        <v>2.19</v>
      </c>
      <c r="BL31" s="7" t="s">
        <v>68</v>
      </c>
      <c r="BM31" s="7">
        <v>4.91</v>
      </c>
      <c r="BN31" s="7">
        <v>50.09</v>
      </c>
      <c r="BO31" s="7">
        <v>3.49</v>
      </c>
      <c r="BP31" s="7">
        <v>18.18</v>
      </c>
      <c r="BQ31" s="7">
        <v>2.11</v>
      </c>
      <c r="BR31" s="7">
        <v>5.19</v>
      </c>
      <c r="BS31" s="7">
        <v>3.28</v>
      </c>
    </row>
    <row r="32" spans="1:71">
      <c r="A32" s="7">
        <v>30</v>
      </c>
      <c r="B32" s="7">
        <f t="shared" si="0"/>
        <v>1423.75</v>
      </c>
      <c r="C32" s="9" t="s">
        <v>101</v>
      </c>
      <c r="D32" s="7">
        <v>26207.3</v>
      </c>
      <c r="E32" s="7">
        <v>197.14</v>
      </c>
      <c r="F32" s="7" t="s">
        <v>68</v>
      </c>
      <c r="G32" s="7">
        <v>314.68</v>
      </c>
      <c r="H32" s="7">
        <v>2846.41</v>
      </c>
      <c r="I32" s="7">
        <v>178.08</v>
      </c>
      <c r="J32" s="7">
        <v>603.19000000000005</v>
      </c>
      <c r="K32" s="7">
        <v>102.37</v>
      </c>
      <c r="L32" s="7">
        <v>27.57</v>
      </c>
      <c r="M32" s="7">
        <v>9.52</v>
      </c>
      <c r="N32" s="7">
        <v>5647.51</v>
      </c>
      <c r="O32" s="7">
        <v>57.48</v>
      </c>
      <c r="P32" s="7">
        <v>172.29</v>
      </c>
      <c r="Q32" s="7">
        <v>14.85</v>
      </c>
      <c r="R32" s="7">
        <v>72.069999999999993</v>
      </c>
      <c r="S32" s="7">
        <v>7.34</v>
      </c>
      <c r="T32" s="7">
        <v>69.239999999999995</v>
      </c>
      <c r="U32" s="7">
        <v>23.2</v>
      </c>
      <c r="V32" s="7">
        <v>14296.68</v>
      </c>
      <c r="W32" s="7">
        <v>105.18</v>
      </c>
      <c r="X32" s="7" t="s">
        <v>68</v>
      </c>
      <c r="Y32" s="7">
        <v>58.16</v>
      </c>
      <c r="Z32" s="7">
        <v>38.08</v>
      </c>
      <c r="AA32" s="7">
        <v>12.07</v>
      </c>
      <c r="AB32" s="7">
        <v>16.18</v>
      </c>
      <c r="AC32" s="7">
        <v>7.16</v>
      </c>
      <c r="AD32" s="7">
        <v>55.12</v>
      </c>
      <c r="AE32" s="7">
        <v>4.87</v>
      </c>
      <c r="AF32" s="7">
        <v>23.84</v>
      </c>
      <c r="AG32" s="7">
        <v>3.23</v>
      </c>
      <c r="AH32" s="7" t="s">
        <v>68</v>
      </c>
      <c r="AI32" s="7">
        <v>2.1800000000000002</v>
      </c>
      <c r="AJ32" s="7">
        <v>164.98</v>
      </c>
      <c r="AK32" s="7">
        <v>2.92</v>
      </c>
      <c r="AL32" s="7">
        <v>124.15</v>
      </c>
      <c r="AM32" s="7">
        <v>2.25</v>
      </c>
      <c r="AN32" s="7">
        <v>272.37</v>
      </c>
      <c r="AO32" s="7">
        <v>3.23</v>
      </c>
      <c r="AP32" s="7">
        <v>11.59</v>
      </c>
      <c r="AQ32" s="7">
        <v>1.69</v>
      </c>
      <c r="AR32" s="7" t="s">
        <v>68</v>
      </c>
      <c r="AS32" s="7">
        <v>4.4000000000000004</v>
      </c>
      <c r="AT32" s="7" t="s">
        <v>68</v>
      </c>
      <c r="AU32" s="7">
        <v>4.24</v>
      </c>
      <c r="AV32" s="7" t="s">
        <v>68</v>
      </c>
      <c r="AW32" s="7">
        <v>6.15</v>
      </c>
      <c r="AX32" s="7">
        <v>6.42</v>
      </c>
      <c r="AY32" s="7">
        <v>3.05</v>
      </c>
      <c r="AZ32" s="7" t="s">
        <v>68</v>
      </c>
      <c r="BA32" s="7">
        <v>6.94</v>
      </c>
      <c r="BB32" s="7">
        <v>16.149999999999999</v>
      </c>
      <c r="BC32" s="7">
        <v>9.39</v>
      </c>
      <c r="BD32" s="7">
        <v>18.149999999999999</v>
      </c>
      <c r="BE32" s="7">
        <v>3.1</v>
      </c>
      <c r="BF32" s="7">
        <v>266.08999999999997</v>
      </c>
      <c r="BG32" s="7">
        <v>14.88</v>
      </c>
      <c r="BH32" s="7" t="s">
        <v>68</v>
      </c>
      <c r="BI32" s="7">
        <v>21.9</v>
      </c>
      <c r="BJ32" s="7" t="s">
        <v>68</v>
      </c>
      <c r="BK32" s="7">
        <v>3.19</v>
      </c>
      <c r="BL32" s="7" t="s">
        <v>68</v>
      </c>
      <c r="BM32" s="7">
        <v>4.9400000000000004</v>
      </c>
      <c r="BN32" s="7">
        <v>54.39</v>
      </c>
      <c r="BO32" s="7">
        <v>3.61</v>
      </c>
      <c r="BP32" s="7">
        <v>18.68</v>
      </c>
      <c r="BQ32" s="7">
        <v>2.13</v>
      </c>
      <c r="BR32" s="7">
        <v>8.68</v>
      </c>
      <c r="BS32" s="7">
        <v>3.3</v>
      </c>
    </row>
    <row r="33" spans="1:71">
      <c r="A33" s="7">
        <v>31</v>
      </c>
      <c r="B33" s="7">
        <f t="shared" si="0"/>
        <v>1403.75</v>
      </c>
      <c r="C33" s="9" t="s">
        <v>102</v>
      </c>
      <c r="D33" s="7">
        <v>25806.98</v>
      </c>
      <c r="E33" s="7">
        <v>195.37</v>
      </c>
      <c r="F33" s="7" t="s">
        <v>68</v>
      </c>
      <c r="G33" s="7">
        <v>321.12</v>
      </c>
      <c r="H33" s="7">
        <v>3426.35</v>
      </c>
      <c r="I33" s="7">
        <v>191.12</v>
      </c>
      <c r="J33" s="7">
        <v>865.63</v>
      </c>
      <c r="K33" s="7">
        <v>101.19</v>
      </c>
      <c r="L33" s="7">
        <v>43.56</v>
      </c>
      <c r="M33" s="7">
        <v>9.93</v>
      </c>
      <c r="N33" s="7">
        <v>5559.22</v>
      </c>
      <c r="O33" s="7">
        <v>56.81</v>
      </c>
      <c r="P33" s="7">
        <v>196.76</v>
      </c>
      <c r="Q33" s="7">
        <v>14.86</v>
      </c>
      <c r="R33" s="7">
        <v>73.09</v>
      </c>
      <c r="S33" s="7">
        <v>7.36</v>
      </c>
      <c r="T33" s="7">
        <v>74.23</v>
      </c>
      <c r="U33" s="7">
        <v>23.52</v>
      </c>
      <c r="V33" s="7">
        <v>14705.41</v>
      </c>
      <c r="W33" s="7">
        <v>108.35</v>
      </c>
      <c r="X33" s="7" t="s">
        <v>68</v>
      </c>
      <c r="Y33" s="7">
        <v>59.47</v>
      </c>
      <c r="Z33" s="7">
        <v>49.93</v>
      </c>
      <c r="AA33" s="7">
        <v>12.38</v>
      </c>
      <c r="AB33" s="7" t="s">
        <v>68</v>
      </c>
      <c r="AC33" s="7">
        <v>10.65</v>
      </c>
      <c r="AD33" s="7">
        <v>53.72</v>
      </c>
      <c r="AE33" s="7">
        <v>4.8899999999999997</v>
      </c>
      <c r="AF33" s="7">
        <v>24.81</v>
      </c>
      <c r="AG33" s="7">
        <v>3.62</v>
      </c>
      <c r="AH33" s="7" t="s">
        <v>68</v>
      </c>
      <c r="AI33" s="7">
        <v>2.21</v>
      </c>
      <c r="AJ33" s="7">
        <v>168.47</v>
      </c>
      <c r="AK33" s="7">
        <v>2.99</v>
      </c>
      <c r="AL33" s="7">
        <v>120.63</v>
      </c>
      <c r="AM33" s="7">
        <v>2.25</v>
      </c>
      <c r="AN33" s="7">
        <v>264.48</v>
      </c>
      <c r="AO33" s="7">
        <v>3.24</v>
      </c>
      <c r="AP33" s="7">
        <v>12.02</v>
      </c>
      <c r="AQ33" s="7">
        <v>1.71</v>
      </c>
      <c r="AR33" s="7" t="s">
        <v>68</v>
      </c>
      <c r="AS33" s="7">
        <v>4.5199999999999996</v>
      </c>
      <c r="AT33" s="7" t="s">
        <v>68</v>
      </c>
      <c r="AU33" s="7">
        <v>4.1500000000000004</v>
      </c>
      <c r="AV33" s="7" t="s">
        <v>68</v>
      </c>
      <c r="AW33" s="7">
        <v>6</v>
      </c>
      <c r="AX33" s="7">
        <v>5.89</v>
      </c>
      <c r="AY33" s="7">
        <v>3.02</v>
      </c>
      <c r="AZ33" s="7" t="s">
        <v>68</v>
      </c>
      <c r="BA33" s="7">
        <v>6.87</v>
      </c>
      <c r="BB33" s="7">
        <v>17.89</v>
      </c>
      <c r="BC33" s="7">
        <v>9.31</v>
      </c>
      <c r="BD33" s="7">
        <v>14.08</v>
      </c>
      <c r="BE33" s="7">
        <v>3.06</v>
      </c>
      <c r="BF33" s="7">
        <v>258.22000000000003</v>
      </c>
      <c r="BG33" s="7">
        <v>14.7</v>
      </c>
      <c r="BH33" s="7" t="s">
        <v>68</v>
      </c>
      <c r="BI33" s="7">
        <v>21.76</v>
      </c>
      <c r="BJ33" s="7">
        <v>4.12</v>
      </c>
      <c r="BK33" s="7">
        <v>2.27</v>
      </c>
      <c r="BL33" s="7">
        <v>5.93</v>
      </c>
      <c r="BM33" s="7">
        <v>3.33</v>
      </c>
      <c r="BN33" s="7">
        <v>75.430000000000007</v>
      </c>
      <c r="BO33" s="7">
        <v>4.1500000000000004</v>
      </c>
      <c r="BP33" s="7">
        <v>17.739999999999998</v>
      </c>
      <c r="BQ33" s="7">
        <v>2.1800000000000002</v>
      </c>
      <c r="BR33" s="7">
        <v>5.23</v>
      </c>
      <c r="BS33" s="7">
        <v>3.32</v>
      </c>
    </row>
    <row r="34" spans="1:71">
      <c r="A34" s="7">
        <v>32</v>
      </c>
      <c r="B34" s="7">
        <f t="shared" si="0"/>
        <v>1383.75</v>
      </c>
      <c r="C34" s="9" t="s">
        <v>103</v>
      </c>
      <c r="D34" s="7">
        <v>25702.91</v>
      </c>
      <c r="E34" s="7">
        <v>196.7</v>
      </c>
      <c r="F34" s="7" t="s">
        <v>68</v>
      </c>
      <c r="G34" s="7">
        <v>311.17</v>
      </c>
      <c r="H34" s="7">
        <v>3779.43</v>
      </c>
      <c r="I34" s="7">
        <v>200.17</v>
      </c>
      <c r="J34" s="7">
        <v>922.78</v>
      </c>
      <c r="K34" s="7">
        <v>101.53</v>
      </c>
      <c r="L34" s="7">
        <v>36.53</v>
      </c>
      <c r="M34" s="7">
        <v>9.9</v>
      </c>
      <c r="N34" s="7">
        <v>5444.42</v>
      </c>
      <c r="O34" s="7">
        <v>57.03</v>
      </c>
      <c r="P34" s="7">
        <v>189.12</v>
      </c>
      <c r="Q34" s="7">
        <v>14.92</v>
      </c>
      <c r="R34" s="7">
        <v>72.489999999999995</v>
      </c>
      <c r="S34" s="7">
        <v>7.39</v>
      </c>
      <c r="T34" s="7">
        <v>88.54</v>
      </c>
      <c r="U34" s="7">
        <v>23.55</v>
      </c>
      <c r="V34" s="7">
        <v>14467.91</v>
      </c>
      <c r="W34" s="7">
        <v>106.27</v>
      </c>
      <c r="X34" s="7" t="s">
        <v>68</v>
      </c>
      <c r="Y34" s="7">
        <v>58.55</v>
      </c>
      <c r="Z34" s="7">
        <v>35.869999999999997</v>
      </c>
      <c r="AA34" s="7">
        <v>12.07</v>
      </c>
      <c r="AB34" s="7">
        <v>13.68</v>
      </c>
      <c r="AC34" s="7">
        <v>7.12</v>
      </c>
      <c r="AD34" s="7">
        <v>50.9</v>
      </c>
      <c r="AE34" s="7">
        <v>4.7699999999999996</v>
      </c>
      <c r="AF34" s="7">
        <v>35.85</v>
      </c>
      <c r="AG34" s="7">
        <v>4.22</v>
      </c>
      <c r="AH34" s="7" t="s">
        <v>68</v>
      </c>
      <c r="AI34" s="7">
        <v>2.19</v>
      </c>
      <c r="AJ34" s="7">
        <v>172.15</v>
      </c>
      <c r="AK34" s="7">
        <v>2.99</v>
      </c>
      <c r="AL34" s="7">
        <v>123.29</v>
      </c>
      <c r="AM34" s="7">
        <v>2.25</v>
      </c>
      <c r="AN34" s="7">
        <v>249.22</v>
      </c>
      <c r="AO34" s="7">
        <v>3.13</v>
      </c>
      <c r="AP34" s="7">
        <v>10.36</v>
      </c>
      <c r="AQ34" s="7">
        <v>1.67</v>
      </c>
      <c r="AR34" s="7">
        <v>6.04</v>
      </c>
      <c r="AS34" s="7">
        <v>3.09</v>
      </c>
      <c r="AT34" s="7" t="s">
        <v>68</v>
      </c>
      <c r="AU34" s="7">
        <v>4.1900000000000004</v>
      </c>
      <c r="AV34" s="7" t="s">
        <v>68</v>
      </c>
      <c r="AW34" s="7">
        <v>6.02</v>
      </c>
      <c r="AX34" s="7">
        <v>6.96</v>
      </c>
      <c r="AY34" s="7">
        <v>3.04</v>
      </c>
      <c r="AZ34" s="7" t="s">
        <v>68</v>
      </c>
      <c r="BA34" s="7">
        <v>6.85</v>
      </c>
      <c r="BB34" s="7">
        <v>20</v>
      </c>
      <c r="BC34" s="7">
        <v>9.36</v>
      </c>
      <c r="BD34" s="7">
        <v>9.92</v>
      </c>
      <c r="BE34" s="7">
        <v>3.05</v>
      </c>
      <c r="BF34" s="7">
        <v>232.05</v>
      </c>
      <c r="BG34" s="7">
        <v>14.64</v>
      </c>
      <c r="BH34" s="7" t="s">
        <v>68</v>
      </c>
      <c r="BI34" s="7">
        <v>21.59</v>
      </c>
      <c r="BJ34" s="7" t="s">
        <v>68</v>
      </c>
      <c r="BK34" s="7">
        <v>3.3</v>
      </c>
      <c r="BL34" s="7" t="s">
        <v>68</v>
      </c>
      <c r="BM34" s="7">
        <v>4.84</v>
      </c>
      <c r="BN34" s="7">
        <v>111.62</v>
      </c>
      <c r="BO34" s="7">
        <v>4.82</v>
      </c>
      <c r="BP34" s="7">
        <v>17.760000000000002</v>
      </c>
      <c r="BQ34" s="7">
        <v>2.23</v>
      </c>
      <c r="BR34" s="7">
        <v>7.83</v>
      </c>
      <c r="BS34" s="7">
        <v>3.35</v>
      </c>
    </row>
    <row r="35" spans="1:71">
      <c r="A35" s="7">
        <v>33</v>
      </c>
      <c r="B35" s="7">
        <f t="shared" si="0"/>
        <v>1363.75</v>
      </c>
      <c r="C35" s="9" t="s">
        <v>104</v>
      </c>
      <c r="D35" s="7">
        <v>25644.85</v>
      </c>
      <c r="E35" s="7">
        <v>196.93</v>
      </c>
      <c r="F35" s="7" t="s">
        <v>68</v>
      </c>
      <c r="G35" s="7">
        <v>327.3</v>
      </c>
      <c r="H35" s="7">
        <v>3155.43</v>
      </c>
      <c r="I35" s="7">
        <v>187.14</v>
      </c>
      <c r="J35" s="7">
        <v>736.8</v>
      </c>
      <c r="K35" s="7">
        <v>103.58</v>
      </c>
      <c r="L35" s="7">
        <v>47.59</v>
      </c>
      <c r="M35" s="7">
        <v>10.14</v>
      </c>
      <c r="N35" s="7">
        <v>5377</v>
      </c>
      <c r="O35" s="7">
        <v>56.83</v>
      </c>
      <c r="P35" s="7">
        <v>206.71</v>
      </c>
      <c r="Q35" s="7">
        <v>15.01</v>
      </c>
      <c r="R35" s="7">
        <v>72.31</v>
      </c>
      <c r="S35" s="7">
        <v>7.47</v>
      </c>
      <c r="T35" s="7">
        <v>75.150000000000006</v>
      </c>
      <c r="U35" s="7">
        <v>23.35</v>
      </c>
      <c r="V35" s="7">
        <v>14935.65</v>
      </c>
      <c r="W35" s="7">
        <v>107.77</v>
      </c>
      <c r="X35" s="7" t="s">
        <v>68</v>
      </c>
      <c r="Y35" s="7">
        <v>59.65</v>
      </c>
      <c r="Z35" s="7">
        <v>37.9</v>
      </c>
      <c r="AA35" s="7">
        <v>12.14</v>
      </c>
      <c r="AB35" s="7">
        <v>12.29</v>
      </c>
      <c r="AC35" s="7">
        <v>7.1</v>
      </c>
      <c r="AD35" s="7">
        <v>54.98</v>
      </c>
      <c r="AE35" s="7">
        <v>4.87</v>
      </c>
      <c r="AF35" s="7">
        <v>34.47</v>
      </c>
      <c r="AG35" s="7">
        <v>4.25</v>
      </c>
      <c r="AH35" s="7">
        <v>2.29</v>
      </c>
      <c r="AI35" s="7">
        <v>1.51</v>
      </c>
      <c r="AJ35" s="7">
        <v>176.27</v>
      </c>
      <c r="AK35" s="7">
        <v>3.02</v>
      </c>
      <c r="AL35" s="7">
        <v>129.46</v>
      </c>
      <c r="AM35" s="7">
        <v>2.2999999999999998</v>
      </c>
      <c r="AN35" s="7">
        <v>246.58</v>
      </c>
      <c r="AO35" s="7">
        <v>3.12</v>
      </c>
      <c r="AP35" s="7">
        <v>13.4</v>
      </c>
      <c r="AQ35" s="7">
        <v>1.69</v>
      </c>
      <c r="AR35" s="7" t="s">
        <v>68</v>
      </c>
      <c r="AS35" s="7">
        <v>4.3</v>
      </c>
      <c r="AT35" s="7" t="s">
        <v>68</v>
      </c>
      <c r="AU35" s="7">
        <v>4.08</v>
      </c>
      <c r="AV35" s="7" t="s">
        <v>68</v>
      </c>
      <c r="AW35" s="7">
        <v>5.9</v>
      </c>
      <c r="AX35" s="7" t="s">
        <v>68</v>
      </c>
      <c r="AY35" s="7">
        <v>4.3899999999999997</v>
      </c>
      <c r="AZ35" s="7" t="s">
        <v>68</v>
      </c>
      <c r="BA35" s="7">
        <v>6.68</v>
      </c>
      <c r="BB35" s="7" t="s">
        <v>68</v>
      </c>
      <c r="BC35" s="7">
        <v>13.57</v>
      </c>
      <c r="BD35" s="7" t="s">
        <v>68</v>
      </c>
      <c r="BE35" s="7">
        <v>4.47</v>
      </c>
      <c r="BF35" s="7">
        <v>188.79</v>
      </c>
      <c r="BG35" s="7">
        <v>14.23</v>
      </c>
      <c r="BH35" s="7" t="s">
        <v>68</v>
      </c>
      <c r="BI35" s="7">
        <v>21.62</v>
      </c>
      <c r="BJ35" s="7">
        <v>4.47</v>
      </c>
      <c r="BK35" s="7">
        <v>2.2999999999999998</v>
      </c>
      <c r="BL35" s="7" t="s">
        <v>68</v>
      </c>
      <c r="BM35" s="7">
        <v>4.93</v>
      </c>
      <c r="BN35" s="7">
        <v>115.57</v>
      </c>
      <c r="BO35" s="7">
        <v>4.8899999999999997</v>
      </c>
      <c r="BP35" s="7">
        <v>18.07</v>
      </c>
      <c r="BQ35" s="7">
        <v>2.2400000000000002</v>
      </c>
      <c r="BR35" s="7">
        <v>6.12</v>
      </c>
      <c r="BS35" s="7">
        <v>3.35</v>
      </c>
    </row>
    <row r="36" spans="1:71">
      <c r="A36" s="7">
        <v>34</v>
      </c>
      <c r="B36" s="7">
        <f t="shared" si="0"/>
        <v>1343.75</v>
      </c>
      <c r="C36" s="9" t="s">
        <v>105</v>
      </c>
      <c r="D36" s="7">
        <v>25683.15</v>
      </c>
      <c r="E36" s="7">
        <v>199.28</v>
      </c>
      <c r="F36" s="7" t="s">
        <v>68</v>
      </c>
      <c r="G36" s="7">
        <v>348.02</v>
      </c>
      <c r="H36" s="7">
        <v>4118.33</v>
      </c>
      <c r="I36" s="7">
        <v>210.71</v>
      </c>
      <c r="J36" s="7">
        <v>936.51</v>
      </c>
      <c r="K36" s="7">
        <v>104.85</v>
      </c>
      <c r="L36" s="7">
        <v>44.57</v>
      </c>
      <c r="M36" s="7">
        <v>10.43</v>
      </c>
      <c r="N36" s="7">
        <v>5419.7</v>
      </c>
      <c r="O36" s="7">
        <v>57.83</v>
      </c>
      <c r="P36" s="7">
        <v>199.03</v>
      </c>
      <c r="Q36" s="7">
        <v>15.22</v>
      </c>
      <c r="R36" s="7">
        <v>74.17</v>
      </c>
      <c r="S36" s="7">
        <v>7.58</v>
      </c>
      <c r="T36" s="7">
        <v>52.16</v>
      </c>
      <c r="U36" s="7">
        <v>22.92</v>
      </c>
      <c r="V36" s="7">
        <v>15592.52</v>
      </c>
      <c r="W36" s="7">
        <v>110.49</v>
      </c>
      <c r="X36" s="7" t="s">
        <v>68</v>
      </c>
      <c r="Y36" s="7">
        <v>60.82</v>
      </c>
      <c r="Z36" s="7">
        <v>31</v>
      </c>
      <c r="AA36" s="7">
        <v>12.08</v>
      </c>
      <c r="AB36" s="7">
        <v>11.49</v>
      </c>
      <c r="AC36" s="7">
        <v>7.1</v>
      </c>
      <c r="AD36" s="7">
        <v>51.05</v>
      </c>
      <c r="AE36" s="7">
        <v>4.8099999999999996</v>
      </c>
      <c r="AF36" s="7">
        <v>41.49</v>
      </c>
      <c r="AG36" s="7">
        <v>4.59</v>
      </c>
      <c r="AH36" s="7" t="s">
        <v>68</v>
      </c>
      <c r="AI36" s="7">
        <v>2.2200000000000002</v>
      </c>
      <c r="AJ36" s="7">
        <v>180.39</v>
      </c>
      <c r="AK36" s="7">
        <v>3.07</v>
      </c>
      <c r="AL36" s="7">
        <v>135.82</v>
      </c>
      <c r="AM36" s="7">
        <v>2.36</v>
      </c>
      <c r="AN36" s="7">
        <v>239.46</v>
      </c>
      <c r="AO36" s="7">
        <v>3.1</v>
      </c>
      <c r="AP36" s="7">
        <v>16.190000000000001</v>
      </c>
      <c r="AQ36" s="7">
        <v>1.72</v>
      </c>
      <c r="AR36" s="7" t="s">
        <v>68</v>
      </c>
      <c r="AS36" s="7">
        <v>4.51</v>
      </c>
      <c r="AT36" s="7" t="s">
        <v>68</v>
      </c>
      <c r="AU36" s="7">
        <v>4.1100000000000003</v>
      </c>
      <c r="AV36" s="7" t="s">
        <v>68</v>
      </c>
      <c r="AW36" s="7">
        <v>6</v>
      </c>
      <c r="AX36" s="7" t="s">
        <v>68</v>
      </c>
      <c r="AY36" s="7">
        <v>4.51</v>
      </c>
      <c r="AZ36" s="7" t="s">
        <v>68</v>
      </c>
      <c r="BA36" s="7">
        <v>6.88</v>
      </c>
      <c r="BB36" s="7" t="s">
        <v>68</v>
      </c>
      <c r="BC36" s="7">
        <v>13.93</v>
      </c>
      <c r="BD36" s="7">
        <v>5.8</v>
      </c>
      <c r="BE36" s="7">
        <v>3.05</v>
      </c>
      <c r="BF36" s="7">
        <v>212.76</v>
      </c>
      <c r="BG36" s="7">
        <v>14.6</v>
      </c>
      <c r="BH36" s="7" t="s">
        <v>68</v>
      </c>
      <c r="BI36" s="7">
        <v>21.93</v>
      </c>
      <c r="BJ36" s="7" t="s">
        <v>68</v>
      </c>
      <c r="BK36" s="7">
        <v>3.41</v>
      </c>
      <c r="BL36" s="7" t="s">
        <v>68</v>
      </c>
      <c r="BM36" s="7">
        <v>4.95</v>
      </c>
      <c r="BN36" s="7">
        <v>135.66</v>
      </c>
      <c r="BO36" s="7">
        <v>5.26</v>
      </c>
      <c r="BP36" s="7">
        <v>18.559999999999999</v>
      </c>
      <c r="BQ36" s="7">
        <v>2.2999999999999998</v>
      </c>
      <c r="BR36" s="7">
        <v>7.53</v>
      </c>
      <c r="BS36" s="7">
        <v>3.41</v>
      </c>
    </row>
    <row r="37" spans="1:71">
      <c r="A37" s="7">
        <v>35</v>
      </c>
      <c r="B37" s="7">
        <f t="shared" si="0"/>
        <v>1323.75</v>
      </c>
      <c r="C37" s="9" t="s">
        <v>106</v>
      </c>
      <c r="D37" s="7">
        <v>24801.61</v>
      </c>
      <c r="E37" s="7">
        <v>197.06</v>
      </c>
      <c r="F37" s="7" t="s">
        <v>68</v>
      </c>
      <c r="G37" s="7">
        <v>347.02</v>
      </c>
      <c r="H37" s="7">
        <v>3774.4</v>
      </c>
      <c r="I37" s="7">
        <v>204.56</v>
      </c>
      <c r="J37" s="7">
        <v>956.9</v>
      </c>
      <c r="K37" s="7">
        <v>104.7</v>
      </c>
      <c r="L37" s="7">
        <v>47.99</v>
      </c>
      <c r="M37" s="7">
        <v>10.49</v>
      </c>
      <c r="N37" s="7">
        <v>5369.83</v>
      </c>
      <c r="O37" s="7">
        <v>57.72</v>
      </c>
      <c r="P37" s="7">
        <v>209.51</v>
      </c>
      <c r="Q37" s="7">
        <v>15.27</v>
      </c>
      <c r="R37" s="7">
        <v>70.53</v>
      </c>
      <c r="S37" s="7">
        <v>7.6</v>
      </c>
      <c r="T37" s="7">
        <v>91.37</v>
      </c>
      <c r="U37" s="7">
        <v>23.96</v>
      </c>
      <c r="V37" s="7">
        <v>16268.55</v>
      </c>
      <c r="W37" s="7">
        <v>113.4</v>
      </c>
      <c r="X37" s="7" t="s">
        <v>68</v>
      </c>
      <c r="Y37" s="7">
        <v>62.55</v>
      </c>
      <c r="Z37" s="7">
        <v>45.93</v>
      </c>
      <c r="AA37" s="7">
        <v>12.33</v>
      </c>
      <c r="AB37" s="7" t="s">
        <v>68</v>
      </c>
      <c r="AC37" s="7">
        <v>10.58</v>
      </c>
      <c r="AD37" s="7">
        <v>45.08</v>
      </c>
      <c r="AE37" s="7">
        <v>4.67</v>
      </c>
      <c r="AF37" s="7">
        <v>36.65</v>
      </c>
      <c r="AG37" s="7">
        <v>4.01</v>
      </c>
      <c r="AH37" s="7" t="s">
        <v>68</v>
      </c>
      <c r="AI37" s="7">
        <v>2.21</v>
      </c>
      <c r="AJ37" s="7">
        <v>177.33</v>
      </c>
      <c r="AK37" s="7">
        <v>3.07</v>
      </c>
      <c r="AL37" s="7">
        <v>132.83000000000001</v>
      </c>
      <c r="AM37" s="7">
        <v>2.34</v>
      </c>
      <c r="AN37" s="7">
        <v>245.46</v>
      </c>
      <c r="AO37" s="7">
        <v>3.14</v>
      </c>
      <c r="AP37" s="7">
        <v>18.54</v>
      </c>
      <c r="AQ37" s="7">
        <v>1.75</v>
      </c>
      <c r="AR37" s="7" t="s">
        <v>68</v>
      </c>
      <c r="AS37" s="7">
        <v>4.3600000000000003</v>
      </c>
      <c r="AT37" s="7" t="s">
        <v>68</v>
      </c>
      <c r="AU37" s="7">
        <v>4.12</v>
      </c>
      <c r="AV37" s="7" t="s">
        <v>68</v>
      </c>
      <c r="AW37" s="7">
        <v>5.95</v>
      </c>
      <c r="AX37" s="7">
        <v>4.67</v>
      </c>
      <c r="AY37" s="7">
        <v>2.99</v>
      </c>
      <c r="AZ37" s="7" t="s">
        <v>68</v>
      </c>
      <c r="BA37" s="7">
        <v>6.83</v>
      </c>
      <c r="BB37" s="7" t="s">
        <v>68</v>
      </c>
      <c r="BC37" s="7">
        <v>13.72</v>
      </c>
      <c r="BD37" s="7">
        <v>10.35</v>
      </c>
      <c r="BE37" s="7">
        <v>3.02</v>
      </c>
      <c r="BF37" s="7">
        <v>227.1</v>
      </c>
      <c r="BG37" s="7">
        <v>14.46</v>
      </c>
      <c r="BH37" s="7" t="s">
        <v>68</v>
      </c>
      <c r="BI37" s="7">
        <v>21.84</v>
      </c>
      <c r="BJ37" s="7">
        <v>4.41</v>
      </c>
      <c r="BK37" s="7">
        <v>2.29</v>
      </c>
      <c r="BL37" s="7" t="s">
        <v>68</v>
      </c>
      <c r="BM37" s="7">
        <v>4.8600000000000003</v>
      </c>
      <c r="BN37" s="7">
        <v>92.06</v>
      </c>
      <c r="BO37" s="7">
        <v>4.4800000000000004</v>
      </c>
      <c r="BP37" s="7">
        <v>17.79</v>
      </c>
      <c r="BQ37" s="7">
        <v>2.2200000000000002</v>
      </c>
      <c r="BR37" s="7">
        <v>11.04</v>
      </c>
      <c r="BS37" s="7">
        <v>3.46</v>
      </c>
    </row>
    <row r="38" spans="1:71">
      <c r="A38" s="7">
        <v>36</v>
      </c>
      <c r="B38" s="7">
        <f t="shared" si="0"/>
        <v>1303.75</v>
      </c>
      <c r="C38" s="9" t="s">
        <v>107</v>
      </c>
      <c r="D38" s="7">
        <v>24696.42</v>
      </c>
      <c r="E38" s="7">
        <v>192.8</v>
      </c>
      <c r="F38" s="7" t="s">
        <v>68</v>
      </c>
      <c r="G38" s="7">
        <v>338.46</v>
      </c>
      <c r="H38" s="7">
        <v>3602.57</v>
      </c>
      <c r="I38" s="7">
        <v>196.63</v>
      </c>
      <c r="J38" s="7">
        <v>868.46</v>
      </c>
      <c r="K38" s="7">
        <v>104.59</v>
      </c>
      <c r="L38" s="7">
        <v>39.67</v>
      </c>
      <c r="M38" s="7">
        <v>10.26</v>
      </c>
      <c r="N38" s="7">
        <v>5364.58</v>
      </c>
      <c r="O38" s="7">
        <v>56.24</v>
      </c>
      <c r="P38" s="7">
        <v>214.43</v>
      </c>
      <c r="Q38" s="7">
        <v>14.9</v>
      </c>
      <c r="R38" s="7">
        <v>65.290000000000006</v>
      </c>
      <c r="S38" s="7">
        <v>7.39</v>
      </c>
      <c r="T38" s="7">
        <v>55.81</v>
      </c>
      <c r="U38" s="7">
        <v>22.81</v>
      </c>
      <c r="V38" s="7">
        <v>15173.79</v>
      </c>
      <c r="W38" s="7">
        <v>108.92</v>
      </c>
      <c r="X38" s="7" t="s">
        <v>68</v>
      </c>
      <c r="Y38" s="7">
        <v>59.75</v>
      </c>
      <c r="Z38" s="7">
        <v>35.979999999999997</v>
      </c>
      <c r="AA38" s="7">
        <v>12.1</v>
      </c>
      <c r="AB38" s="7" t="s">
        <v>68</v>
      </c>
      <c r="AC38" s="7">
        <v>10.56</v>
      </c>
      <c r="AD38" s="7">
        <v>44.44</v>
      </c>
      <c r="AE38" s="7">
        <v>4.6100000000000003</v>
      </c>
      <c r="AF38" s="7">
        <v>46.63</v>
      </c>
      <c r="AG38" s="7">
        <v>4.87</v>
      </c>
      <c r="AH38" s="7" t="s">
        <v>68</v>
      </c>
      <c r="AI38" s="7">
        <v>2.23</v>
      </c>
      <c r="AJ38" s="7">
        <v>171.78</v>
      </c>
      <c r="AK38" s="7">
        <v>3</v>
      </c>
      <c r="AL38" s="7">
        <v>145.72</v>
      </c>
      <c r="AM38" s="7">
        <v>2.4300000000000002</v>
      </c>
      <c r="AN38" s="7">
        <v>238.14</v>
      </c>
      <c r="AO38" s="7">
        <v>3.1</v>
      </c>
      <c r="AP38" s="7">
        <v>19.72</v>
      </c>
      <c r="AQ38" s="7">
        <v>1.75</v>
      </c>
      <c r="AR38" s="7" t="s">
        <v>68</v>
      </c>
      <c r="AS38" s="7">
        <v>4.43</v>
      </c>
      <c r="AT38" s="7" t="s">
        <v>68</v>
      </c>
      <c r="AU38" s="7">
        <v>4.0599999999999996</v>
      </c>
      <c r="AV38" s="7" t="s">
        <v>68</v>
      </c>
      <c r="AW38" s="7">
        <v>6</v>
      </c>
      <c r="AX38" s="7" t="s">
        <v>68</v>
      </c>
      <c r="AY38" s="7">
        <v>4.46</v>
      </c>
      <c r="AZ38" s="7" t="s">
        <v>68</v>
      </c>
      <c r="BA38" s="7">
        <v>6.79</v>
      </c>
      <c r="BB38" s="7" t="s">
        <v>68</v>
      </c>
      <c r="BC38" s="7">
        <v>13.69</v>
      </c>
      <c r="BD38" s="7" t="s">
        <v>68</v>
      </c>
      <c r="BE38" s="7">
        <v>4.5</v>
      </c>
      <c r="BF38" s="7">
        <v>198.98</v>
      </c>
      <c r="BG38" s="7">
        <v>14.36</v>
      </c>
      <c r="BH38" s="7" t="s">
        <v>68</v>
      </c>
      <c r="BI38" s="7">
        <v>21.21</v>
      </c>
      <c r="BJ38" s="7">
        <v>4.25</v>
      </c>
      <c r="BK38" s="7">
        <v>2.3199999999999998</v>
      </c>
      <c r="BL38" s="7" t="s">
        <v>68</v>
      </c>
      <c r="BM38" s="7">
        <v>4.82</v>
      </c>
      <c r="BN38" s="7">
        <v>156.16</v>
      </c>
      <c r="BO38" s="7">
        <v>5.59</v>
      </c>
      <c r="BP38" s="7">
        <v>17.649999999999999</v>
      </c>
      <c r="BQ38" s="7">
        <v>2.31</v>
      </c>
      <c r="BR38" s="7">
        <v>9.67</v>
      </c>
      <c r="BS38" s="7">
        <v>3.4</v>
      </c>
    </row>
    <row r="39" spans="1:71">
      <c r="A39" s="7">
        <v>37</v>
      </c>
      <c r="B39" s="7">
        <f t="shared" si="0"/>
        <v>1283.75</v>
      </c>
      <c r="C39" s="9" t="s">
        <v>108</v>
      </c>
      <c r="D39" s="7">
        <v>25584.36</v>
      </c>
      <c r="E39" s="7">
        <v>198.83</v>
      </c>
      <c r="F39" s="7" t="s">
        <v>68</v>
      </c>
      <c r="G39" s="7">
        <v>345.9</v>
      </c>
      <c r="H39" s="7">
        <v>4430.16</v>
      </c>
      <c r="I39" s="7">
        <v>216.61</v>
      </c>
      <c r="J39" s="7">
        <v>1120.8900000000001</v>
      </c>
      <c r="K39" s="7">
        <v>103.09</v>
      </c>
      <c r="L39" s="7">
        <v>36.479999999999997</v>
      </c>
      <c r="M39" s="7">
        <v>10.199999999999999</v>
      </c>
      <c r="N39" s="7">
        <v>5344.34</v>
      </c>
      <c r="O39" s="7">
        <v>57.16</v>
      </c>
      <c r="P39" s="7">
        <v>190.37</v>
      </c>
      <c r="Q39" s="7">
        <v>14.99</v>
      </c>
      <c r="R39" s="7">
        <v>61.29</v>
      </c>
      <c r="S39" s="7">
        <v>7.42</v>
      </c>
      <c r="T39" s="7">
        <v>62.96</v>
      </c>
      <c r="U39" s="7">
        <v>23.08</v>
      </c>
      <c r="V39" s="7">
        <v>15170.13</v>
      </c>
      <c r="W39" s="7">
        <v>108.73</v>
      </c>
      <c r="X39" s="7" t="s">
        <v>68</v>
      </c>
      <c r="Y39" s="7">
        <v>60.16</v>
      </c>
      <c r="Z39" s="7">
        <v>33.340000000000003</v>
      </c>
      <c r="AA39" s="7">
        <v>12.12</v>
      </c>
      <c r="AB39" s="7">
        <v>14.86</v>
      </c>
      <c r="AC39" s="7">
        <v>7.17</v>
      </c>
      <c r="AD39" s="7">
        <v>44.01</v>
      </c>
      <c r="AE39" s="7">
        <v>4.62</v>
      </c>
      <c r="AF39" s="7">
        <v>53.11</v>
      </c>
      <c r="AG39" s="7">
        <v>5.38</v>
      </c>
      <c r="AH39" s="7" t="s">
        <v>68</v>
      </c>
      <c r="AI39" s="7">
        <v>2.25</v>
      </c>
      <c r="AJ39" s="7">
        <v>185.7</v>
      </c>
      <c r="AK39" s="7">
        <v>3.11</v>
      </c>
      <c r="AL39" s="7">
        <v>153.02000000000001</v>
      </c>
      <c r="AM39" s="7">
        <v>2.48</v>
      </c>
      <c r="AN39" s="7">
        <v>221.91</v>
      </c>
      <c r="AO39" s="7">
        <v>3.02</v>
      </c>
      <c r="AP39" s="7">
        <v>26.98</v>
      </c>
      <c r="AQ39" s="7">
        <v>1.8</v>
      </c>
      <c r="AR39" s="7" t="s">
        <v>68</v>
      </c>
      <c r="AS39" s="7">
        <v>4.4800000000000004</v>
      </c>
      <c r="AT39" s="7" t="s">
        <v>68</v>
      </c>
      <c r="AU39" s="7">
        <v>4.21</v>
      </c>
      <c r="AV39" s="7" t="s">
        <v>68</v>
      </c>
      <c r="AW39" s="7">
        <v>6.01</v>
      </c>
      <c r="AX39" s="7" t="s">
        <v>68</v>
      </c>
      <c r="AY39" s="7">
        <v>4.53</v>
      </c>
      <c r="AZ39" s="7" t="s">
        <v>68</v>
      </c>
      <c r="BA39" s="7">
        <v>6.9</v>
      </c>
      <c r="BB39" s="7" t="s">
        <v>68</v>
      </c>
      <c r="BC39" s="7">
        <v>13.84</v>
      </c>
      <c r="BD39" s="7">
        <v>6.67</v>
      </c>
      <c r="BE39" s="7">
        <v>3.05</v>
      </c>
      <c r="BF39" s="7">
        <v>222.8</v>
      </c>
      <c r="BG39" s="7">
        <v>14.64</v>
      </c>
      <c r="BH39" s="7" t="s">
        <v>68</v>
      </c>
      <c r="BI39" s="7">
        <v>21.66</v>
      </c>
      <c r="BJ39" s="7">
        <v>3.95</v>
      </c>
      <c r="BK39" s="7">
        <v>2.34</v>
      </c>
      <c r="BL39" s="7" t="s">
        <v>68</v>
      </c>
      <c r="BM39" s="7">
        <v>4.9000000000000004</v>
      </c>
      <c r="BN39" s="7">
        <v>199.83</v>
      </c>
      <c r="BO39" s="7">
        <v>6.23</v>
      </c>
      <c r="BP39" s="7">
        <v>19.989999999999998</v>
      </c>
      <c r="BQ39" s="7">
        <v>2.44</v>
      </c>
      <c r="BR39" s="7">
        <v>10.130000000000001</v>
      </c>
      <c r="BS39" s="7">
        <v>3.49</v>
      </c>
    </row>
    <row r="40" spans="1:71">
      <c r="A40" s="7">
        <v>38</v>
      </c>
      <c r="B40" s="7">
        <f t="shared" si="0"/>
        <v>1263.75</v>
      </c>
      <c r="C40" s="9" t="s">
        <v>109</v>
      </c>
      <c r="D40" s="7">
        <v>26483.33</v>
      </c>
      <c r="E40" s="7">
        <v>196.16</v>
      </c>
      <c r="F40" s="7" t="s">
        <v>68</v>
      </c>
      <c r="G40" s="7">
        <v>300.02999999999997</v>
      </c>
      <c r="H40" s="7">
        <v>3652.48</v>
      </c>
      <c r="I40" s="7">
        <v>193.72</v>
      </c>
      <c r="J40" s="7">
        <v>1137.17</v>
      </c>
      <c r="K40" s="7">
        <v>101.12</v>
      </c>
      <c r="L40" s="7">
        <v>36.67</v>
      </c>
      <c r="M40" s="7">
        <v>9.9700000000000006</v>
      </c>
      <c r="N40" s="7">
        <v>5501.29</v>
      </c>
      <c r="O40" s="7">
        <v>56.17</v>
      </c>
      <c r="P40" s="7">
        <v>174.92</v>
      </c>
      <c r="Q40" s="7">
        <v>14.57</v>
      </c>
      <c r="R40" s="7">
        <v>65.48</v>
      </c>
      <c r="S40" s="7">
        <v>7.21</v>
      </c>
      <c r="T40" s="7">
        <v>44.37</v>
      </c>
      <c r="U40" s="7">
        <v>22.3</v>
      </c>
      <c r="V40" s="7">
        <v>12745.69</v>
      </c>
      <c r="W40" s="7">
        <v>99.39</v>
      </c>
      <c r="X40" s="7" t="s">
        <v>68</v>
      </c>
      <c r="Y40" s="7">
        <v>55.03</v>
      </c>
      <c r="Z40" s="7">
        <v>24.54</v>
      </c>
      <c r="AA40" s="7">
        <v>11.86</v>
      </c>
      <c r="AB40" s="7">
        <v>14.85</v>
      </c>
      <c r="AC40" s="7">
        <v>7.09</v>
      </c>
      <c r="AD40" s="7">
        <v>39.58</v>
      </c>
      <c r="AE40" s="7">
        <v>4.49</v>
      </c>
      <c r="AF40" s="7">
        <v>44.52</v>
      </c>
      <c r="AG40" s="7">
        <v>5.05</v>
      </c>
      <c r="AH40" s="7" t="s">
        <v>68</v>
      </c>
      <c r="AI40" s="7">
        <v>2.2599999999999998</v>
      </c>
      <c r="AJ40" s="7">
        <v>189.19</v>
      </c>
      <c r="AK40" s="7">
        <v>3.11</v>
      </c>
      <c r="AL40" s="7">
        <v>154.72999999999999</v>
      </c>
      <c r="AM40" s="7">
        <v>2.4900000000000002</v>
      </c>
      <c r="AN40" s="7">
        <v>228.28</v>
      </c>
      <c r="AO40" s="7">
        <v>3.04</v>
      </c>
      <c r="AP40" s="7">
        <v>25.61</v>
      </c>
      <c r="AQ40" s="7">
        <v>1.78</v>
      </c>
      <c r="AR40" s="7" t="s">
        <v>68</v>
      </c>
      <c r="AS40" s="7">
        <v>4.4800000000000004</v>
      </c>
      <c r="AT40" s="7" t="s">
        <v>68</v>
      </c>
      <c r="AU40" s="7">
        <v>4.13</v>
      </c>
      <c r="AV40" s="7" t="s">
        <v>68</v>
      </c>
      <c r="AW40" s="7">
        <v>5.96</v>
      </c>
      <c r="AX40" s="7" t="s">
        <v>68</v>
      </c>
      <c r="AY40" s="7">
        <v>4.47</v>
      </c>
      <c r="AZ40" s="7" t="s">
        <v>68</v>
      </c>
      <c r="BA40" s="7">
        <v>6.78</v>
      </c>
      <c r="BB40" s="7" t="s">
        <v>68</v>
      </c>
      <c r="BC40" s="7">
        <v>13.61</v>
      </c>
      <c r="BD40" s="7" t="s">
        <v>68</v>
      </c>
      <c r="BE40" s="7">
        <v>4.51</v>
      </c>
      <c r="BF40" s="7">
        <v>202.84</v>
      </c>
      <c r="BG40" s="7">
        <v>14.36</v>
      </c>
      <c r="BH40" s="7" t="s">
        <v>68</v>
      </c>
      <c r="BI40" s="7">
        <v>21.53</v>
      </c>
      <c r="BJ40" s="7">
        <v>4.42</v>
      </c>
      <c r="BK40" s="7">
        <v>2.34</v>
      </c>
      <c r="BL40" s="7" t="s">
        <v>68</v>
      </c>
      <c r="BM40" s="7">
        <v>4.93</v>
      </c>
      <c r="BN40" s="7">
        <v>178.19</v>
      </c>
      <c r="BO40" s="7">
        <v>5.89</v>
      </c>
      <c r="BP40" s="7">
        <v>20.58</v>
      </c>
      <c r="BQ40" s="7">
        <v>2.4</v>
      </c>
      <c r="BR40" s="7">
        <v>6.97</v>
      </c>
      <c r="BS40" s="7">
        <v>3.45</v>
      </c>
    </row>
    <row r="41" spans="1:71">
      <c r="A41" s="7">
        <v>39</v>
      </c>
      <c r="B41" s="7">
        <f t="shared" si="0"/>
        <v>1243.75</v>
      </c>
      <c r="C41" s="9" t="s">
        <v>110</v>
      </c>
      <c r="D41" s="7">
        <v>25745.91</v>
      </c>
      <c r="E41" s="7">
        <v>190.55</v>
      </c>
      <c r="F41" s="7" t="s">
        <v>68</v>
      </c>
      <c r="G41" s="7">
        <v>320.88</v>
      </c>
      <c r="H41" s="7">
        <v>4345.58</v>
      </c>
      <c r="I41" s="7">
        <v>204.63</v>
      </c>
      <c r="J41" s="7">
        <v>1178.3</v>
      </c>
      <c r="K41" s="7">
        <v>99.52</v>
      </c>
      <c r="L41" s="7">
        <v>32.24</v>
      </c>
      <c r="M41" s="7">
        <v>9.75</v>
      </c>
      <c r="N41" s="7">
        <v>5241.2299999999996</v>
      </c>
      <c r="O41" s="7">
        <v>54.11</v>
      </c>
      <c r="P41" s="7">
        <v>157.72999999999999</v>
      </c>
      <c r="Q41" s="7">
        <v>14.01</v>
      </c>
      <c r="R41" s="7">
        <v>70.010000000000005</v>
      </c>
      <c r="S41" s="7">
        <v>7.13</v>
      </c>
      <c r="T41" s="7">
        <v>42.2</v>
      </c>
      <c r="U41" s="7">
        <v>21.89</v>
      </c>
      <c r="V41" s="7">
        <v>12316.38</v>
      </c>
      <c r="W41" s="7">
        <v>96.59</v>
      </c>
      <c r="X41" s="7" t="s">
        <v>68</v>
      </c>
      <c r="Y41" s="7">
        <v>53.54</v>
      </c>
      <c r="Z41" s="7">
        <v>19.489999999999998</v>
      </c>
      <c r="AA41" s="7">
        <v>11.62</v>
      </c>
      <c r="AB41" s="7" t="s">
        <v>68</v>
      </c>
      <c r="AC41" s="7">
        <v>10.14</v>
      </c>
      <c r="AD41" s="7">
        <v>40.07</v>
      </c>
      <c r="AE41" s="7">
        <v>4.4400000000000004</v>
      </c>
      <c r="AF41" s="7">
        <v>50.41</v>
      </c>
      <c r="AG41" s="7">
        <v>4.83</v>
      </c>
      <c r="AH41" s="7" t="s">
        <v>68</v>
      </c>
      <c r="AI41" s="7">
        <v>2.1800000000000002</v>
      </c>
      <c r="AJ41" s="7">
        <v>186.16</v>
      </c>
      <c r="AK41" s="7">
        <v>3.05</v>
      </c>
      <c r="AL41" s="7">
        <v>144</v>
      </c>
      <c r="AM41" s="7">
        <v>2.38</v>
      </c>
      <c r="AN41" s="7">
        <v>224.48</v>
      </c>
      <c r="AO41" s="7">
        <v>2.97</v>
      </c>
      <c r="AP41" s="7">
        <v>31.48</v>
      </c>
      <c r="AQ41" s="7">
        <v>1.8</v>
      </c>
      <c r="AR41" s="7" t="s">
        <v>68</v>
      </c>
      <c r="AS41" s="7">
        <v>4.42</v>
      </c>
      <c r="AT41" s="7">
        <v>5.37</v>
      </c>
      <c r="AU41" s="7">
        <v>2.81</v>
      </c>
      <c r="AV41" s="7" t="s">
        <v>68</v>
      </c>
      <c r="AW41" s="7">
        <v>6.02</v>
      </c>
      <c r="AX41" s="7" t="s">
        <v>68</v>
      </c>
      <c r="AY41" s="7">
        <v>4.42</v>
      </c>
      <c r="AZ41" s="7" t="s">
        <v>68</v>
      </c>
      <c r="BA41" s="7">
        <v>6.69</v>
      </c>
      <c r="BB41" s="7" t="s">
        <v>68</v>
      </c>
      <c r="BC41" s="7">
        <v>13.55</v>
      </c>
      <c r="BD41" s="7" t="s">
        <v>68</v>
      </c>
      <c r="BE41" s="7">
        <v>4.47</v>
      </c>
      <c r="BF41" s="7">
        <v>176.94</v>
      </c>
      <c r="BG41" s="7">
        <v>14.2</v>
      </c>
      <c r="BH41" s="7" t="s">
        <v>68</v>
      </c>
      <c r="BI41" s="7">
        <v>21.29</v>
      </c>
      <c r="BJ41" s="7">
        <v>5.58</v>
      </c>
      <c r="BK41" s="7">
        <v>2.3199999999999998</v>
      </c>
      <c r="BL41" s="7" t="s">
        <v>68</v>
      </c>
      <c r="BM41" s="7">
        <v>4.7699999999999996</v>
      </c>
      <c r="BN41" s="7">
        <v>157.15</v>
      </c>
      <c r="BO41" s="7">
        <v>5.5</v>
      </c>
      <c r="BP41" s="7">
        <v>18.7</v>
      </c>
      <c r="BQ41" s="7">
        <v>2.2999999999999998</v>
      </c>
      <c r="BR41" s="7">
        <v>7.62</v>
      </c>
      <c r="BS41" s="7">
        <v>3.39</v>
      </c>
    </row>
    <row r="42" spans="1:71">
      <c r="A42" s="7">
        <v>40</v>
      </c>
      <c r="B42" s="7">
        <f t="shared" si="0"/>
        <v>1223.75</v>
      </c>
      <c r="C42" s="9" t="s">
        <v>111</v>
      </c>
      <c r="D42" s="7">
        <v>26013.57</v>
      </c>
      <c r="E42" s="7">
        <v>194.73</v>
      </c>
      <c r="F42" s="7" t="s">
        <v>68</v>
      </c>
      <c r="G42" s="7">
        <v>319.52999999999997</v>
      </c>
      <c r="H42" s="7">
        <v>5960.85</v>
      </c>
      <c r="I42" s="7">
        <v>238.27</v>
      </c>
      <c r="J42" s="7">
        <v>897.08</v>
      </c>
      <c r="K42" s="7">
        <v>101.8</v>
      </c>
      <c r="L42" s="7">
        <v>31.71</v>
      </c>
      <c r="M42" s="7">
        <v>9.74</v>
      </c>
      <c r="N42" s="7">
        <v>5279.34</v>
      </c>
      <c r="O42" s="7">
        <v>55.53</v>
      </c>
      <c r="P42" s="7">
        <v>156.75</v>
      </c>
      <c r="Q42" s="7">
        <v>14.38</v>
      </c>
      <c r="R42" s="7">
        <v>71.989999999999995</v>
      </c>
      <c r="S42" s="7">
        <v>7.28</v>
      </c>
      <c r="T42" s="7">
        <v>53.32</v>
      </c>
      <c r="U42" s="7">
        <v>22.14</v>
      </c>
      <c r="V42" s="7">
        <v>12613.79</v>
      </c>
      <c r="W42" s="7">
        <v>97.83</v>
      </c>
      <c r="X42" s="7" t="s">
        <v>68</v>
      </c>
      <c r="Y42" s="7">
        <v>53.9</v>
      </c>
      <c r="Z42" s="7">
        <v>19.440000000000001</v>
      </c>
      <c r="AA42" s="7">
        <v>11.59</v>
      </c>
      <c r="AB42" s="7" t="s">
        <v>68</v>
      </c>
      <c r="AC42" s="7">
        <v>10.24</v>
      </c>
      <c r="AD42" s="7">
        <v>38.86</v>
      </c>
      <c r="AE42" s="7">
        <v>4.41</v>
      </c>
      <c r="AF42" s="7">
        <v>45.22</v>
      </c>
      <c r="AG42" s="7">
        <v>4.07</v>
      </c>
      <c r="AH42" s="7" t="s">
        <v>68</v>
      </c>
      <c r="AI42" s="7">
        <v>2.2000000000000002</v>
      </c>
      <c r="AJ42" s="7">
        <v>178.46</v>
      </c>
      <c r="AK42" s="7">
        <v>3</v>
      </c>
      <c r="AL42" s="7">
        <v>131.44</v>
      </c>
      <c r="AM42" s="7">
        <v>2.2799999999999998</v>
      </c>
      <c r="AN42" s="7">
        <v>239.35</v>
      </c>
      <c r="AO42" s="7">
        <v>3.04</v>
      </c>
      <c r="AP42" s="7">
        <v>27.91</v>
      </c>
      <c r="AQ42" s="7">
        <v>1.78</v>
      </c>
      <c r="AR42" s="7" t="s">
        <v>68</v>
      </c>
      <c r="AS42" s="7">
        <v>4.38</v>
      </c>
      <c r="AT42" s="7" t="s">
        <v>68</v>
      </c>
      <c r="AU42" s="7">
        <v>4.07</v>
      </c>
      <c r="AV42" s="7" t="s">
        <v>68</v>
      </c>
      <c r="AW42" s="7">
        <v>5.95</v>
      </c>
      <c r="AX42" s="7" t="s">
        <v>68</v>
      </c>
      <c r="AY42" s="7">
        <v>4.3899999999999997</v>
      </c>
      <c r="AZ42" s="7" t="s">
        <v>68</v>
      </c>
      <c r="BA42" s="7">
        <v>6.64</v>
      </c>
      <c r="BB42" s="7" t="s">
        <v>68</v>
      </c>
      <c r="BC42" s="7">
        <v>13.51</v>
      </c>
      <c r="BD42" s="7" t="s">
        <v>68</v>
      </c>
      <c r="BE42" s="7">
        <v>4.4400000000000004</v>
      </c>
      <c r="BF42" s="7">
        <v>180.31</v>
      </c>
      <c r="BG42" s="7">
        <v>14.11</v>
      </c>
      <c r="BH42" s="7" t="s">
        <v>68</v>
      </c>
      <c r="BI42" s="7">
        <v>21.18</v>
      </c>
      <c r="BJ42" s="7">
        <v>3.99</v>
      </c>
      <c r="BK42" s="7">
        <v>2.25</v>
      </c>
      <c r="BL42" s="7">
        <v>5.2</v>
      </c>
      <c r="BM42" s="7">
        <v>3.25</v>
      </c>
      <c r="BN42" s="7">
        <v>95.33</v>
      </c>
      <c r="BO42" s="7">
        <v>4.45</v>
      </c>
      <c r="BP42" s="7">
        <v>17.420000000000002</v>
      </c>
      <c r="BQ42" s="7">
        <v>2.16</v>
      </c>
      <c r="BR42" s="7">
        <v>8.6199999999999992</v>
      </c>
      <c r="BS42" s="7">
        <v>3.36</v>
      </c>
    </row>
    <row r="43" spans="1:71">
      <c r="A43" s="7">
        <v>41</v>
      </c>
      <c r="B43" s="7">
        <f t="shared" si="0"/>
        <v>1203.75</v>
      </c>
      <c r="C43" s="9" t="s">
        <v>112</v>
      </c>
      <c r="D43" s="7">
        <v>26495.72</v>
      </c>
      <c r="E43" s="7">
        <v>201.32</v>
      </c>
      <c r="F43" s="7" t="s">
        <v>68</v>
      </c>
      <c r="G43" s="7">
        <v>357.94</v>
      </c>
      <c r="H43" s="7">
        <v>8579.09</v>
      </c>
      <c r="I43" s="7">
        <v>287.45</v>
      </c>
      <c r="J43" s="7">
        <v>1262.27</v>
      </c>
      <c r="K43" s="7">
        <v>102.83</v>
      </c>
      <c r="L43" s="7">
        <v>37.1</v>
      </c>
      <c r="M43" s="7">
        <v>10.3</v>
      </c>
      <c r="N43" s="7">
        <v>5178.5</v>
      </c>
      <c r="O43" s="7">
        <v>56.35</v>
      </c>
      <c r="P43" s="7">
        <v>156.56</v>
      </c>
      <c r="Q43" s="7">
        <v>14.62</v>
      </c>
      <c r="R43" s="7">
        <v>68.58</v>
      </c>
      <c r="S43" s="7">
        <v>7.43</v>
      </c>
      <c r="T43" s="7">
        <v>62.52</v>
      </c>
      <c r="U43" s="7">
        <v>23.2</v>
      </c>
      <c r="V43" s="7">
        <v>15060.99</v>
      </c>
      <c r="W43" s="7">
        <v>109.06</v>
      </c>
      <c r="X43" s="7" t="s">
        <v>68</v>
      </c>
      <c r="Y43" s="7">
        <v>59.67</v>
      </c>
      <c r="Z43" s="7">
        <v>39.29</v>
      </c>
      <c r="AA43" s="7">
        <v>12.19</v>
      </c>
      <c r="AB43" s="7">
        <v>16.61</v>
      </c>
      <c r="AC43" s="7">
        <v>7.24</v>
      </c>
      <c r="AD43" s="7">
        <v>41.43</v>
      </c>
      <c r="AE43" s="7">
        <v>4.58</v>
      </c>
      <c r="AF43" s="7">
        <v>64.209999999999994</v>
      </c>
      <c r="AG43" s="7">
        <v>4.8600000000000003</v>
      </c>
      <c r="AH43" s="7" t="s">
        <v>68</v>
      </c>
      <c r="AI43" s="7">
        <v>2.2799999999999998</v>
      </c>
      <c r="AJ43" s="7">
        <v>192.59</v>
      </c>
      <c r="AK43" s="7">
        <v>3.18</v>
      </c>
      <c r="AL43" s="7">
        <v>143.05000000000001</v>
      </c>
      <c r="AM43" s="7">
        <v>2.42</v>
      </c>
      <c r="AN43" s="7">
        <v>218.38</v>
      </c>
      <c r="AO43" s="7">
        <v>3.01</v>
      </c>
      <c r="AP43" s="7">
        <v>30.15</v>
      </c>
      <c r="AQ43" s="7">
        <v>1.83</v>
      </c>
      <c r="AR43" s="7" t="s">
        <v>68</v>
      </c>
      <c r="AS43" s="7">
        <v>4.4000000000000004</v>
      </c>
      <c r="AT43" s="7" t="s">
        <v>68</v>
      </c>
      <c r="AU43" s="7">
        <v>4.1399999999999997</v>
      </c>
      <c r="AV43" s="7" t="s">
        <v>68</v>
      </c>
      <c r="AW43" s="7">
        <v>5.96</v>
      </c>
      <c r="AX43" s="7">
        <v>5.73</v>
      </c>
      <c r="AY43" s="7">
        <v>3</v>
      </c>
      <c r="AZ43" s="7" t="s">
        <v>68</v>
      </c>
      <c r="BA43" s="7">
        <v>6.8</v>
      </c>
      <c r="BB43" s="7" t="s">
        <v>68</v>
      </c>
      <c r="BC43" s="7">
        <v>13.8</v>
      </c>
      <c r="BD43" s="7">
        <v>8.6199999999999992</v>
      </c>
      <c r="BE43" s="7">
        <v>3.02</v>
      </c>
      <c r="BF43" s="7">
        <v>228.61</v>
      </c>
      <c r="BG43" s="7">
        <v>14.48</v>
      </c>
      <c r="BH43" s="7" t="s">
        <v>68</v>
      </c>
      <c r="BI43" s="7">
        <v>21.87</v>
      </c>
      <c r="BJ43" s="7">
        <v>4.7300000000000004</v>
      </c>
      <c r="BK43" s="7">
        <v>2.36</v>
      </c>
      <c r="BL43" s="7" t="s">
        <v>68</v>
      </c>
      <c r="BM43" s="7">
        <v>4.96</v>
      </c>
      <c r="BN43" s="7">
        <v>135.35</v>
      </c>
      <c r="BO43" s="7">
        <v>5.28</v>
      </c>
      <c r="BP43" s="7">
        <v>21.13</v>
      </c>
      <c r="BQ43" s="7">
        <v>2.38</v>
      </c>
      <c r="BR43" s="7">
        <v>9.27</v>
      </c>
      <c r="BS43" s="7">
        <v>3.54</v>
      </c>
    </row>
    <row r="44" spans="1:71">
      <c r="A44" s="7">
        <v>42</v>
      </c>
      <c r="B44" s="7">
        <f t="shared" si="0"/>
        <v>1183.75</v>
      </c>
      <c r="C44" s="9" t="s">
        <v>113</v>
      </c>
      <c r="D44" s="7">
        <v>25518.46</v>
      </c>
      <c r="E44" s="7">
        <v>195.6</v>
      </c>
      <c r="F44" s="7" t="s">
        <v>68</v>
      </c>
      <c r="G44" s="7">
        <v>331.85</v>
      </c>
      <c r="H44" s="7">
        <v>7504.84</v>
      </c>
      <c r="I44" s="7">
        <v>267.67</v>
      </c>
      <c r="J44" s="7">
        <v>1328.07</v>
      </c>
      <c r="K44" s="7">
        <v>101.27</v>
      </c>
      <c r="L44" s="7">
        <v>32.81</v>
      </c>
      <c r="M44" s="7">
        <v>10.220000000000001</v>
      </c>
      <c r="N44" s="7">
        <v>5123.53</v>
      </c>
      <c r="O44" s="7">
        <v>55.81</v>
      </c>
      <c r="P44" s="7">
        <v>166</v>
      </c>
      <c r="Q44" s="7">
        <v>14.58</v>
      </c>
      <c r="R44" s="7">
        <v>65.33</v>
      </c>
      <c r="S44" s="7">
        <v>7.29</v>
      </c>
      <c r="T44" s="7">
        <v>52.39</v>
      </c>
      <c r="U44" s="7">
        <v>22.77</v>
      </c>
      <c r="V44" s="7">
        <v>15570.66</v>
      </c>
      <c r="W44" s="7">
        <v>110.44</v>
      </c>
      <c r="X44" s="7" t="s">
        <v>68</v>
      </c>
      <c r="Y44" s="7">
        <v>60.62</v>
      </c>
      <c r="Z44" s="7">
        <v>21.97</v>
      </c>
      <c r="AA44" s="7">
        <v>12</v>
      </c>
      <c r="AB44" s="7">
        <v>14.59</v>
      </c>
      <c r="AC44" s="7">
        <v>7.19</v>
      </c>
      <c r="AD44" s="7">
        <v>36.07</v>
      </c>
      <c r="AE44" s="7">
        <v>4.4400000000000004</v>
      </c>
      <c r="AF44" s="7">
        <v>65.430000000000007</v>
      </c>
      <c r="AG44" s="7">
        <v>4.91</v>
      </c>
      <c r="AH44" s="7" t="s">
        <v>68</v>
      </c>
      <c r="AI44" s="7">
        <v>2.31</v>
      </c>
      <c r="AJ44" s="7">
        <v>197.89</v>
      </c>
      <c r="AK44" s="7">
        <v>3.21</v>
      </c>
      <c r="AL44" s="7">
        <v>153.78</v>
      </c>
      <c r="AM44" s="7">
        <v>2.5</v>
      </c>
      <c r="AN44" s="7">
        <v>218.61</v>
      </c>
      <c r="AO44" s="7">
        <v>3.01</v>
      </c>
      <c r="AP44" s="7">
        <v>29.05</v>
      </c>
      <c r="AQ44" s="7">
        <v>1.82</v>
      </c>
      <c r="AR44" s="7" t="s">
        <v>68</v>
      </c>
      <c r="AS44" s="7">
        <v>4.54</v>
      </c>
      <c r="AT44" s="7" t="s">
        <v>68</v>
      </c>
      <c r="AU44" s="7">
        <v>4.2</v>
      </c>
      <c r="AV44" s="7" t="s">
        <v>68</v>
      </c>
      <c r="AW44" s="7">
        <v>6.1</v>
      </c>
      <c r="AX44" s="7" t="s">
        <v>68</v>
      </c>
      <c r="AY44" s="7">
        <v>4.53</v>
      </c>
      <c r="AZ44" s="7" t="s">
        <v>68</v>
      </c>
      <c r="BA44" s="7">
        <v>6.89</v>
      </c>
      <c r="BB44" s="7" t="s">
        <v>68</v>
      </c>
      <c r="BC44" s="7">
        <v>13.91</v>
      </c>
      <c r="BD44" s="7" t="s">
        <v>68</v>
      </c>
      <c r="BE44" s="7">
        <v>4.57</v>
      </c>
      <c r="BF44" s="7">
        <v>179.21</v>
      </c>
      <c r="BG44" s="7">
        <v>14.53</v>
      </c>
      <c r="BH44" s="7" t="s">
        <v>68</v>
      </c>
      <c r="BI44" s="7">
        <v>21.83</v>
      </c>
      <c r="BJ44" s="7">
        <v>6.41</v>
      </c>
      <c r="BK44" s="7">
        <v>2.4300000000000002</v>
      </c>
      <c r="BL44" s="7" t="s">
        <v>68</v>
      </c>
      <c r="BM44" s="7">
        <v>4.96</v>
      </c>
      <c r="BN44" s="7">
        <v>140.19999999999999</v>
      </c>
      <c r="BO44" s="7">
        <v>5.35</v>
      </c>
      <c r="BP44" s="7">
        <v>21.6</v>
      </c>
      <c r="BQ44" s="7">
        <v>2.39</v>
      </c>
      <c r="BR44" s="7">
        <v>10.210000000000001</v>
      </c>
      <c r="BS44" s="7">
        <v>3.58</v>
      </c>
    </row>
    <row r="45" spans="1:71">
      <c r="A45" s="7">
        <v>43</v>
      </c>
      <c r="B45" s="7">
        <f t="shared" si="0"/>
        <v>1163.75</v>
      </c>
      <c r="C45" s="9" t="s">
        <v>114</v>
      </c>
      <c r="D45" s="7">
        <v>26006.22</v>
      </c>
      <c r="E45" s="7">
        <v>198.02</v>
      </c>
      <c r="F45" s="7" t="s">
        <v>68</v>
      </c>
      <c r="G45" s="7">
        <v>353.24</v>
      </c>
      <c r="H45" s="7">
        <v>9196.5400000000009</v>
      </c>
      <c r="I45" s="7">
        <v>294.47000000000003</v>
      </c>
      <c r="J45" s="7">
        <v>1234.01</v>
      </c>
      <c r="K45" s="7">
        <v>101.73</v>
      </c>
      <c r="L45" s="7">
        <v>37.159999999999997</v>
      </c>
      <c r="M45" s="7">
        <v>10.17</v>
      </c>
      <c r="N45" s="7">
        <v>5199.72</v>
      </c>
      <c r="O45" s="7">
        <v>56.1</v>
      </c>
      <c r="P45" s="7">
        <v>168.43</v>
      </c>
      <c r="Q45" s="7">
        <v>14.64</v>
      </c>
      <c r="R45" s="7">
        <v>71.760000000000005</v>
      </c>
      <c r="S45" s="7">
        <v>7.43</v>
      </c>
      <c r="T45" s="7">
        <v>71.400000000000006</v>
      </c>
      <c r="U45" s="7">
        <v>23.13</v>
      </c>
      <c r="V45" s="7">
        <v>15627.93</v>
      </c>
      <c r="W45" s="7">
        <v>110.46</v>
      </c>
      <c r="X45" s="7" t="s">
        <v>68</v>
      </c>
      <c r="Y45" s="7">
        <v>60.58</v>
      </c>
      <c r="Z45" s="7">
        <v>24.84</v>
      </c>
      <c r="AA45" s="7">
        <v>11.95</v>
      </c>
      <c r="AB45" s="7">
        <v>13.88</v>
      </c>
      <c r="AC45" s="7">
        <v>7.12</v>
      </c>
      <c r="AD45" s="7">
        <v>37.93</v>
      </c>
      <c r="AE45" s="7">
        <v>4.47</v>
      </c>
      <c r="AF45" s="7">
        <v>65.38</v>
      </c>
      <c r="AG45" s="7">
        <v>4.04</v>
      </c>
      <c r="AH45" s="7">
        <v>2.54</v>
      </c>
      <c r="AI45" s="7">
        <v>1.52</v>
      </c>
      <c r="AJ45" s="7">
        <v>195.52</v>
      </c>
      <c r="AK45" s="7">
        <v>3.19</v>
      </c>
      <c r="AL45" s="7">
        <v>139.69999999999999</v>
      </c>
      <c r="AM45" s="7">
        <v>2.38</v>
      </c>
      <c r="AN45" s="7">
        <v>216.43</v>
      </c>
      <c r="AO45" s="7">
        <v>2.98</v>
      </c>
      <c r="AP45" s="7">
        <v>27.98</v>
      </c>
      <c r="AQ45" s="7">
        <v>1.81</v>
      </c>
      <c r="AR45" s="7" t="s">
        <v>68</v>
      </c>
      <c r="AS45" s="7">
        <v>4.5</v>
      </c>
      <c r="AT45" s="7" t="s">
        <v>68</v>
      </c>
      <c r="AU45" s="7">
        <v>4.13</v>
      </c>
      <c r="AV45" s="7" t="s">
        <v>68</v>
      </c>
      <c r="AW45" s="7">
        <v>6.04</v>
      </c>
      <c r="AX45" s="7" t="s">
        <v>68</v>
      </c>
      <c r="AY45" s="7">
        <v>4.4800000000000004</v>
      </c>
      <c r="AZ45" s="7" t="s">
        <v>68</v>
      </c>
      <c r="BA45" s="7">
        <v>6.78</v>
      </c>
      <c r="BB45" s="7" t="s">
        <v>68</v>
      </c>
      <c r="BC45" s="7">
        <v>13.79</v>
      </c>
      <c r="BD45" s="7" t="s">
        <v>68</v>
      </c>
      <c r="BE45" s="7">
        <v>4.5199999999999996</v>
      </c>
      <c r="BF45" s="7">
        <v>191.13</v>
      </c>
      <c r="BG45" s="7">
        <v>14.38</v>
      </c>
      <c r="BH45" s="7" t="s">
        <v>68</v>
      </c>
      <c r="BI45" s="7">
        <v>21.64</v>
      </c>
      <c r="BJ45" s="7">
        <v>5.56</v>
      </c>
      <c r="BK45" s="7">
        <v>2.34</v>
      </c>
      <c r="BL45" s="7" t="s">
        <v>68</v>
      </c>
      <c r="BM45" s="7">
        <v>4.83</v>
      </c>
      <c r="BN45" s="7">
        <v>68.180000000000007</v>
      </c>
      <c r="BO45" s="7">
        <v>3.97</v>
      </c>
      <c r="BP45" s="7">
        <v>20.34</v>
      </c>
      <c r="BQ45" s="7">
        <v>2.23</v>
      </c>
      <c r="BR45" s="7">
        <v>12.87</v>
      </c>
      <c r="BS45" s="7">
        <v>3.58</v>
      </c>
    </row>
    <row r="46" spans="1:71">
      <c r="A46" s="7">
        <v>44</v>
      </c>
      <c r="B46" s="7">
        <f t="shared" si="0"/>
        <v>1143.75</v>
      </c>
      <c r="C46" s="9" t="s">
        <v>115</v>
      </c>
      <c r="D46" s="7">
        <v>26189.78</v>
      </c>
      <c r="E46" s="7">
        <v>196.63</v>
      </c>
      <c r="F46" s="7" t="s">
        <v>68</v>
      </c>
      <c r="G46" s="7">
        <v>337.58</v>
      </c>
      <c r="H46" s="7">
        <v>7034.46</v>
      </c>
      <c r="I46" s="7">
        <v>258.08999999999997</v>
      </c>
      <c r="J46" s="7">
        <v>1356.61</v>
      </c>
      <c r="K46" s="7">
        <v>99.54</v>
      </c>
      <c r="L46" s="7">
        <v>45.33</v>
      </c>
      <c r="M46" s="7">
        <v>10.18</v>
      </c>
      <c r="N46" s="7">
        <v>5242.79</v>
      </c>
      <c r="O46" s="7">
        <v>55.46</v>
      </c>
      <c r="P46" s="7">
        <v>170.49</v>
      </c>
      <c r="Q46" s="7">
        <v>14.44</v>
      </c>
      <c r="R46" s="7">
        <v>74.63</v>
      </c>
      <c r="S46" s="7">
        <v>7.33</v>
      </c>
      <c r="T46" s="7">
        <v>46.36</v>
      </c>
      <c r="U46" s="7">
        <v>22.75</v>
      </c>
      <c r="V46" s="7">
        <v>14747.33</v>
      </c>
      <c r="W46" s="7">
        <v>107.99</v>
      </c>
      <c r="X46" s="7" t="s">
        <v>68</v>
      </c>
      <c r="Y46" s="7">
        <v>59.45</v>
      </c>
      <c r="Z46" s="7">
        <v>33.57</v>
      </c>
      <c r="AA46" s="7">
        <v>12.16</v>
      </c>
      <c r="AB46" s="7">
        <v>16.16</v>
      </c>
      <c r="AC46" s="7">
        <v>7.24</v>
      </c>
      <c r="AD46" s="7">
        <v>39.32</v>
      </c>
      <c r="AE46" s="7">
        <v>4.51</v>
      </c>
      <c r="AF46" s="7">
        <v>46.57</v>
      </c>
      <c r="AG46" s="7">
        <v>3.68</v>
      </c>
      <c r="AH46" s="7" t="s">
        <v>68</v>
      </c>
      <c r="AI46" s="7">
        <v>2.19</v>
      </c>
      <c r="AJ46" s="7">
        <v>201.55</v>
      </c>
      <c r="AK46" s="7">
        <v>3.25</v>
      </c>
      <c r="AL46" s="7">
        <v>140.06</v>
      </c>
      <c r="AM46" s="7">
        <v>2.4</v>
      </c>
      <c r="AN46" s="7">
        <v>214.73</v>
      </c>
      <c r="AO46" s="7">
        <v>2.98</v>
      </c>
      <c r="AP46" s="7">
        <v>25.87</v>
      </c>
      <c r="AQ46" s="7">
        <v>1.8</v>
      </c>
      <c r="AR46" s="7" t="s">
        <v>68</v>
      </c>
      <c r="AS46" s="7">
        <v>4.53</v>
      </c>
      <c r="AT46" s="7" t="s">
        <v>68</v>
      </c>
      <c r="AU46" s="7">
        <v>4.1900000000000004</v>
      </c>
      <c r="AV46" s="7" t="s">
        <v>68</v>
      </c>
      <c r="AW46" s="7">
        <v>6.03</v>
      </c>
      <c r="AX46" s="7" t="s">
        <v>68</v>
      </c>
      <c r="AY46" s="7">
        <v>4.43</v>
      </c>
      <c r="AZ46" s="7" t="s">
        <v>68</v>
      </c>
      <c r="BA46" s="7">
        <v>6.8</v>
      </c>
      <c r="BB46" s="7" t="s">
        <v>68</v>
      </c>
      <c r="BC46" s="7">
        <v>13.79</v>
      </c>
      <c r="BD46" s="7" t="s">
        <v>68</v>
      </c>
      <c r="BE46" s="7">
        <v>4.55</v>
      </c>
      <c r="BF46" s="7">
        <v>195.14</v>
      </c>
      <c r="BG46" s="7">
        <v>14.47</v>
      </c>
      <c r="BH46" s="7" t="s">
        <v>68</v>
      </c>
      <c r="BI46" s="7">
        <v>21.33</v>
      </c>
      <c r="BJ46" s="7">
        <v>5.32</v>
      </c>
      <c r="BK46" s="7">
        <v>2.3199999999999998</v>
      </c>
      <c r="BL46" s="7">
        <v>6.62</v>
      </c>
      <c r="BM46" s="7">
        <v>3.3</v>
      </c>
      <c r="BN46" s="7">
        <v>58.75</v>
      </c>
      <c r="BO46" s="7">
        <v>3.76</v>
      </c>
      <c r="BP46" s="7">
        <v>18.260000000000002</v>
      </c>
      <c r="BQ46" s="7">
        <v>2.1800000000000002</v>
      </c>
      <c r="BR46" s="7">
        <v>10</v>
      </c>
      <c r="BS46" s="7">
        <v>3.6</v>
      </c>
    </row>
    <row r="47" spans="1:71">
      <c r="A47" s="7">
        <v>45</v>
      </c>
      <c r="B47" s="7">
        <f t="shared" si="0"/>
        <v>1123.75</v>
      </c>
      <c r="C47" s="9" t="s">
        <v>116</v>
      </c>
      <c r="D47" s="7">
        <v>27021.32</v>
      </c>
      <c r="E47" s="7">
        <v>203.82</v>
      </c>
      <c r="F47" s="7" t="s">
        <v>68</v>
      </c>
      <c r="G47" s="7">
        <v>349.86</v>
      </c>
      <c r="H47" s="7">
        <v>8127.27</v>
      </c>
      <c r="I47" s="7">
        <v>281.45999999999998</v>
      </c>
      <c r="J47" s="7">
        <v>1177.2</v>
      </c>
      <c r="K47" s="7">
        <v>101.01</v>
      </c>
      <c r="L47" s="7">
        <v>40.54</v>
      </c>
      <c r="M47" s="7">
        <v>10.06</v>
      </c>
      <c r="N47" s="7">
        <v>5191.08</v>
      </c>
      <c r="O47" s="7">
        <v>57</v>
      </c>
      <c r="P47" s="7">
        <v>195.36</v>
      </c>
      <c r="Q47" s="7">
        <v>15.09</v>
      </c>
      <c r="R47" s="7">
        <v>75.430000000000007</v>
      </c>
      <c r="S47" s="7">
        <v>7.58</v>
      </c>
      <c r="T47" s="7">
        <v>67.2</v>
      </c>
      <c r="U47" s="7">
        <v>23.3</v>
      </c>
      <c r="V47" s="7">
        <v>16244.34</v>
      </c>
      <c r="W47" s="7">
        <v>112.82</v>
      </c>
      <c r="X47" s="7" t="s">
        <v>68</v>
      </c>
      <c r="Y47" s="7">
        <v>61.85</v>
      </c>
      <c r="Z47" s="7">
        <v>35.06</v>
      </c>
      <c r="AA47" s="7">
        <v>12.14</v>
      </c>
      <c r="AB47" s="7">
        <v>13.57</v>
      </c>
      <c r="AC47" s="7">
        <v>7.16</v>
      </c>
      <c r="AD47" s="7">
        <v>43.5</v>
      </c>
      <c r="AE47" s="7">
        <v>4.62</v>
      </c>
      <c r="AF47" s="7">
        <v>49.8</v>
      </c>
      <c r="AG47" s="7">
        <v>3.53</v>
      </c>
      <c r="AH47" s="7" t="s">
        <v>68</v>
      </c>
      <c r="AI47" s="7">
        <v>2.15</v>
      </c>
      <c r="AJ47" s="7">
        <v>194.69</v>
      </c>
      <c r="AK47" s="7">
        <v>3.19</v>
      </c>
      <c r="AL47" s="7">
        <v>186.43</v>
      </c>
      <c r="AM47" s="7">
        <v>2.73</v>
      </c>
      <c r="AN47" s="7">
        <v>204.99</v>
      </c>
      <c r="AO47" s="7">
        <v>2.97</v>
      </c>
      <c r="AP47" s="7">
        <v>20.45</v>
      </c>
      <c r="AQ47" s="7">
        <v>1.74</v>
      </c>
      <c r="AR47" s="7" t="s">
        <v>68</v>
      </c>
      <c r="AS47" s="7">
        <v>4.46</v>
      </c>
      <c r="AT47" s="7" t="s">
        <v>68</v>
      </c>
      <c r="AU47" s="7">
        <v>4.13</v>
      </c>
      <c r="AV47" s="7" t="s">
        <v>68</v>
      </c>
      <c r="AW47" s="7">
        <v>5.99</v>
      </c>
      <c r="AX47" s="7" t="s">
        <v>68</v>
      </c>
      <c r="AY47" s="7">
        <v>4.49</v>
      </c>
      <c r="AZ47" s="7" t="s">
        <v>68</v>
      </c>
      <c r="BA47" s="7">
        <v>6.84</v>
      </c>
      <c r="BB47" s="7" t="s">
        <v>68</v>
      </c>
      <c r="BC47" s="7">
        <v>13.83</v>
      </c>
      <c r="BD47" s="7" t="s">
        <v>68</v>
      </c>
      <c r="BE47" s="7">
        <v>4.55</v>
      </c>
      <c r="BF47" s="7">
        <v>214.93</v>
      </c>
      <c r="BG47" s="7">
        <v>14.54</v>
      </c>
      <c r="BH47" s="7" t="s">
        <v>68</v>
      </c>
      <c r="BI47" s="7">
        <v>21.71</v>
      </c>
      <c r="BJ47" s="7">
        <v>5.21</v>
      </c>
      <c r="BK47" s="7">
        <v>2.29</v>
      </c>
      <c r="BL47" s="7" t="s">
        <v>68</v>
      </c>
      <c r="BM47" s="7">
        <v>4.9400000000000004</v>
      </c>
      <c r="BN47" s="7">
        <v>46.79</v>
      </c>
      <c r="BO47" s="7">
        <v>3.46</v>
      </c>
      <c r="BP47" s="7">
        <v>20.32</v>
      </c>
      <c r="BQ47" s="7">
        <v>2.2000000000000002</v>
      </c>
      <c r="BR47" s="7">
        <v>10.17</v>
      </c>
      <c r="BS47" s="7">
        <v>3.58</v>
      </c>
    </row>
    <row r="48" spans="1:71">
      <c r="A48" s="7">
        <v>46</v>
      </c>
      <c r="B48" s="7">
        <f t="shared" si="0"/>
        <v>1103.75</v>
      </c>
      <c r="C48" s="9" t="s">
        <v>117</v>
      </c>
      <c r="D48" s="7">
        <v>24491.9</v>
      </c>
      <c r="E48" s="7">
        <v>205.96</v>
      </c>
      <c r="F48" s="7" t="s">
        <v>68</v>
      </c>
      <c r="G48" s="7">
        <v>420.45</v>
      </c>
      <c r="H48" s="7">
        <v>9792.85</v>
      </c>
      <c r="I48" s="7">
        <v>325.61</v>
      </c>
      <c r="J48" s="7">
        <v>1052.0899999999999</v>
      </c>
      <c r="K48" s="7">
        <v>107.94</v>
      </c>
      <c r="L48" s="7">
        <v>23.9</v>
      </c>
      <c r="M48" s="7">
        <v>10.49</v>
      </c>
      <c r="N48" s="7">
        <v>5235.17</v>
      </c>
      <c r="O48" s="7">
        <v>60.19</v>
      </c>
      <c r="P48" s="7">
        <v>217.02</v>
      </c>
      <c r="Q48" s="7">
        <v>16.059999999999999</v>
      </c>
      <c r="R48" s="7">
        <v>59.35</v>
      </c>
      <c r="S48" s="7">
        <v>7.96</v>
      </c>
      <c r="T48" s="7">
        <v>59.51</v>
      </c>
      <c r="U48" s="7">
        <v>24.29</v>
      </c>
      <c r="V48" s="7">
        <v>22954.400000000001</v>
      </c>
      <c r="W48" s="7">
        <v>136.97999999999999</v>
      </c>
      <c r="X48" s="7" t="s">
        <v>68</v>
      </c>
      <c r="Y48" s="7">
        <v>74.67</v>
      </c>
      <c r="Z48" s="7">
        <v>57.01</v>
      </c>
      <c r="AA48" s="7">
        <v>12.96</v>
      </c>
      <c r="AB48" s="7">
        <v>13.78</v>
      </c>
      <c r="AC48" s="7">
        <v>7.46</v>
      </c>
      <c r="AD48" s="7">
        <v>49.11</v>
      </c>
      <c r="AE48" s="7">
        <v>4.8899999999999997</v>
      </c>
      <c r="AF48" s="7">
        <v>57.89</v>
      </c>
      <c r="AG48" s="7">
        <v>3.87</v>
      </c>
      <c r="AH48" s="7" t="s">
        <v>68</v>
      </c>
      <c r="AI48" s="7">
        <v>2.2799999999999998</v>
      </c>
      <c r="AJ48" s="7">
        <v>172.71</v>
      </c>
      <c r="AK48" s="7">
        <v>3.1</v>
      </c>
      <c r="AL48" s="7">
        <v>301.64999999999998</v>
      </c>
      <c r="AM48" s="7">
        <v>3.52</v>
      </c>
      <c r="AN48" s="7">
        <v>245.74</v>
      </c>
      <c r="AO48" s="7">
        <v>3.36</v>
      </c>
      <c r="AP48" s="7">
        <v>20.51</v>
      </c>
      <c r="AQ48" s="7">
        <v>1.81</v>
      </c>
      <c r="AR48" s="7" t="s">
        <v>68</v>
      </c>
      <c r="AS48" s="7">
        <v>4.6399999999999997</v>
      </c>
      <c r="AT48" s="7" t="s">
        <v>68</v>
      </c>
      <c r="AU48" s="7">
        <v>4.29</v>
      </c>
      <c r="AV48" s="7" t="s">
        <v>68</v>
      </c>
      <c r="AW48" s="7">
        <v>6.21</v>
      </c>
      <c r="AX48" s="7" t="s">
        <v>68</v>
      </c>
      <c r="AY48" s="7">
        <v>4.66</v>
      </c>
      <c r="AZ48" s="7" t="s">
        <v>68</v>
      </c>
      <c r="BA48" s="7">
        <v>7.15</v>
      </c>
      <c r="BB48" s="7">
        <v>15.17</v>
      </c>
      <c r="BC48" s="7">
        <v>9.64</v>
      </c>
      <c r="BD48" s="7">
        <v>14.49</v>
      </c>
      <c r="BE48" s="7">
        <v>3.17</v>
      </c>
      <c r="BF48" s="7">
        <v>240.76</v>
      </c>
      <c r="BG48" s="7">
        <v>15.16</v>
      </c>
      <c r="BH48" s="7" t="s">
        <v>68</v>
      </c>
      <c r="BI48" s="7">
        <v>22.7</v>
      </c>
      <c r="BJ48" s="7">
        <v>4.21</v>
      </c>
      <c r="BK48" s="7">
        <v>2.35</v>
      </c>
      <c r="BL48" s="7">
        <v>5.74</v>
      </c>
      <c r="BM48" s="7">
        <v>3.45</v>
      </c>
      <c r="BN48" s="7">
        <v>54.84</v>
      </c>
      <c r="BO48" s="7">
        <v>3.76</v>
      </c>
      <c r="BP48" s="7">
        <v>18.809999999999999</v>
      </c>
      <c r="BQ48" s="7">
        <v>2.25</v>
      </c>
      <c r="BR48" s="7">
        <v>10.92</v>
      </c>
      <c r="BS48" s="7">
        <v>3.61</v>
      </c>
    </row>
    <row r="49" spans="1:71">
      <c r="A49" s="7">
        <v>47</v>
      </c>
      <c r="B49" s="7">
        <f t="shared" si="0"/>
        <v>1083.75</v>
      </c>
      <c r="C49" s="9" t="s">
        <v>118</v>
      </c>
      <c r="D49" s="7">
        <v>25305.87</v>
      </c>
      <c r="E49" s="7">
        <v>201.11</v>
      </c>
      <c r="F49" s="7" t="s">
        <v>68</v>
      </c>
      <c r="G49" s="7">
        <v>383.72</v>
      </c>
      <c r="H49" s="7">
        <v>7748.78</v>
      </c>
      <c r="I49" s="7">
        <v>281.14</v>
      </c>
      <c r="J49" s="7">
        <v>965.37</v>
      </c>
      <c r="K49" s="7">
        <v>106.01</v>
      </c>
      <c r="L49" s="7">
        <v>28.76</v>
      </c>
      <c r="M49" s="7">
        <v>10.23</v>
      </c>
      <c r="N49" s="7">
        <v>5367.86</v>
      </c>
      <c r="O49" s="7">
        <v>58.37</v>
      </c>
      <c r="P49" s="7">
        <v>210.33</v>
      </c>
      <c r="Q49" s="7">
        <v>15.47</v>
      </c>
      <c r="R49" s="7">
        <v>71.959999999999994</v>
      </c>
      <c r="S49" s="7">
        <v>7.76</v>
      </c>
      <c r="T49" s="7">
        <v>41.59</v>
      </c>
      <c r="U49" s="7">
        <v>22.74</v>
      </c>
      <c r="V49" s="7">
        <v>18393.52</v>
      </c>
      <c r="W49" s="7">
        <v>119.68</v>
      </c>
      <c r="X49" s="7" t="s">
        <v>68</v>
      </c>
      <c r="Y49" s="7">
        <v>65.7</v>
      </c>
      <c r="Z49" s="7">
        <v>32.979999999999997</v>
      </c>
      <c r="AA49" s="7">
        <v>12.2</v>
      </c>
      <c r="AB49" s="7">
        <v>15.54</v>
      </c>
      <c r="AC49" s="7">
        <v>7.22</v>
      </c>
      <c r="AD49" s="7">
        <v>46.32</v>
      </c>
      <c r="AE49" s="7">
        <v>4.6900000000000004</v>
      </c>
      <c r="AF49" s="7">
        <v>51.84</v>
      </c>
      <c r="AG49" s="7">
        <v>3.68</v>
      </c>
      <c r="AH49" s="7" t="s">
        <v>68</v>
      </c>
      <c r="AI49" s="7">
        <v>2.1800000000000002</v>
      </c>
      <c r="AJ49" s="7">
        <v>170.92</v>
      </c>
      <c r="AK49" s="7">
        <v>3.01</v>
      </c>
      <c r="AL49" s="7">
        <v>280.35000000000002</v>
      </c>
      <c r="AM49" s="7">
        <v>3.31</v>
      </c>
      <c r="AN49" s="7">
        <v>240.45</v>
      </c>
      <c r="AO49" s="7">
        <v>3.23</v>
      </c>
      <c r="AP49" s="7">
        <v>18.670000000000002</v>
      </c>
      <c r="AQ49" s="7">
        <v>1.75</v>
      </c>
      <c r="AR49" s="7" t="s">
        <v>68</v>
      </c>
      <c r="AS49" s="7">
        <v>4.49</v>
      </c>
      <c r="AT49" s="7" t="s">
        <v>68</v>
      </c>
      <c r="AU49" s="7">
        <v>4.22</v>
      </c>
      <c r="AV49" s="7" t="s">
        <v>68</v>
      </c>
      <c r="AW49" s="7">
        <v>6.07</v>
      </c>
      <c r="AX49" s="7" t="s">
        <v>68</v>
      </c>
      <c r="AY49" s="7">
        <v>4.49</v>
      </c>
      <c r="AZ49" s="7" t="s">
        <v>68</v>
      </c>
      <c r="BA49" s="7">
        <v>6.88</v>
      </c>
      <c r="BB49" s="7" t="s">
        <v>68</v>
      </c>
      <c r="BC49" s="7">
        <v>13.86</v>
      </c>
      <c r="BD49" s="7" t="s">
        <v>68</v>
      </c>
      <c r="BE49" s="7">
        <v>4.57</v>
      </c>
      <c r="BF49" s="7">
        <v>153.69999999999999</v>
      </c>
      <c r="BG49" s="7">
        <v>14.41</v>
      </c>
      <c r="BH49" s="7" t="s">
        <v>68</v>
      </c>
      <c r="BI49" s="7">
        <v>22.07</v>
      </c>
      <c r="BJ49" s="7" t="s">
        <v>68</v>
      </c>
      <c r="BK49" s="7">
        <v>3.27</v>
      </c>
      <c r="BL49" s="7" t="s">
        <v>68</v>
      </c>
      <c r="BM49" s="7">
        <v>4.88</v>
      </c>
      <c r="BN49" s="7">
        <v>54.94</v>
      </c>
      <c r="BO49" s="7">
        <v>3.66</v>
      </c>
      <c r="BP49" s="7">
        <v>18.22</v>
      </c>
      <c r="BQ49" s="7">
        <v>2.16</v>
      </c>
      <c r="BR49" s="7">
        <v>14.01</v>
      </c>
      <c r="BS49" s="7">
        <v>3.53</v>
      </c>
    </row>
    <row r="50" spans="1:71">
      <c r="A50" s="7">
        <v>48</v>
      </c>
      <c r="B50" s="7">
        <f t="shared" si="0"/>
        <v>1063.75</v>
      </c>
      <c r="C50" s="9" t="s">
        <v>119</v>
      </c>
      <c r="D50" s="7">
        <v>24226.47</v>
      </c>
      <c r="E50" s="7">
        <v>204.27</v>
      </c>
      <c r="F50" s="7" t="s">
        <v>68</v>
      </c>
      <c r="G50" s="7">
        <v>414.01</v>
      </c>
      <c r="H50" s="7">
        <v>15973.44</v>
      </c>
      <c r="I50" s="7">
        <v>407.06</v>
      </c>
      <c r="J50" s="7">
        <v>825</v>
      </c>
      <c r="K50" s="7">
        <v>108.32</v>
      </c>
      <c r="L50" s="7">
        <v>39.56</v>
      </c>
      <c r="M50" s="7">
        <v>10.76</v>
      </c>
      <c r="N50" s="7">
        <v>5250.58</v>
      </c>
      <c r="O50" s="7">
        <v>60.17</v>
      </c>
      <c r="P50" s="7">
        <v>190.04</v>
      </c>
      <c r="Q50" s="7">
        <v>15.84</v>
      </c>
      <c r="R50" s="7">
        <v>72.319999999999993</v>
      </c>
      <c r="S50" s="7">
        <v>7.97</v>
      </c>
      <c r="T50" s="7">
        <v>54.52</v>
      </c>
      <c r="U50" s="7">
        <v>23.71</v>
      </c>
      <c r="V50" s="7">
        <v>23147.03</v>
      </c>
      <c r="W50" s="7">
        <v>136.32</v>
      </c>
      <c r="X50" s="7" t="s">
        <v>68</v>
      </c>
      <c r="Y50" s="7">
        <v>74.16</v>
      </c>
      <c r="Z50" s="7">
        <v>44.98</v>
      </c>
      <c r="AA50" s="7">
        <v>12.62</v>
      </c>
      <c r="AB50" s="7">
        <v>20.29</v>
      </c>
      <c r="AC50" s="7">
        <v>7.5</v>
      </c>
      <c r="AD50" s="7">
        <v>42.79</v>
      </c>
      <c r="AE50" s="7">
        <v>4.67</v>
      </c>
      <c r="AF50" s="7">
        <v>71.239999999999995</v>
      </c>
      <c r="AG50" s="7">
        <v>3.79</v>
      </c>
      <c r="AH50" s="7" t="s">
        <v>68</v>
      </c>
      <c r="AI50" s="7">
        <v>2.21</v>
      </c>
      <c r="AJ50" s="7">
        <v>163.82</v>
      </c>
      <c r="AK50" s="7">
        <v>3</v>
      </c>
      <c r="AL50" s="7">
        <v>162.65</v>
      </c>
      <c r="AM50" s="7">
        <v>2.6</v>
      </c>
      <c r="AN50" s="7">
        <v>239.19</v>
      </c>
      <c r="AO50" s="7">
        <v>3.17</v>
      </c>
      <c r="AP50" s="7">
        <v>21.79</v>
      </c>
      <c r="AQ50" s="7">
        <v>1.8</v>
      </c>
      <c r="AR50" s="7" t="s">
        <v>68</v>
      </c>
      <c r="AS50" s="7">
        <v>4.51</v>
      </c>
      <c r="AT50" s="7" t="s">
        <v>68</v>
      </c>
      <c r="AU50" s="7">
        <v>4.21</v>
      </c>
      <c r="AV50" s="7" t="s">
        <v>68</v>
      </c>
      <c r="AW50" s="7">
        <v>6.13</v>
      </c>
      <c r="AX50" s="7" t="s">
        <v>68</v>
      </c>
      <c r="AY50" s="7">
        <v>4.5599999999999996</v>
      </c>
      <c r="AZ50" s="7" t="s">
        <v>68</v>
      </c>
      <c r="BA50" s="7">
        <v>6.93</v>
      </c>
      <c r="BB50" s="7" t="s">
        <v>68</v>
      </c>
      <c r="BC50" s="7">
        <v>13.99</v>
      </c>
      <c r="BD50" s="7" t="s">
        <v>68</v>
      </c>
      <c r="BE50" s="7">
        <v>4.62</v>
      </c>
      <c r="BF50" s="7">
        <v>160.58000000000001</v>
      </c>
      <c r="BG50" s="7">
        <v>14.56</v>
      </c>
      <c r="BH50" s="7" t="s">
        <v>68</v>
      </c>
      <c r="BI50" s="7">
        <v>22</v>
      </c>
      <c r="BJ50" s="7" t="s">
        <v>68</v>
      </c>
      <c r="BK50" s="7">
        <v>3.36</v>
      </c>
      <c r="BL50" s="7">
        <v>5.58</v>
      </c>
      <c r="BM50" s="7">
        <v>3.35</v>
      </c>
      <c r="BN50" s="7">
        <v>39.090000000000003</v>
      </c>
      <c r="BO50" s="7">
        <v>3.3</v>
      </c>
      <c r="BP50" s="7">
        <v>16.37</v>
      </c>
      <c r="BQ50" s="7">
        <v>2.12</v>
      </c>
      <c r="BR50" s="7">
        <v>13.94</v>
      </c>
      <c r="BS50" s="7">
        <v>3.49</v>
      </c>
    </row>
    <row r="51" spans="1:71">
      <c r="A51" s="7">
        <v>49</v>
      </c>
      <c r="B51" s="7">
        <f t="shared" si="0"/>
        <v>1043.75</v>
      </c>
      <c r="C51" s="9" t="s">
        <v>120</v>
      </c>
      <c r="D51" s="7">
        <v>23781.86</v>
      </c>
      <c r="E51" s="7">
        <v>196.4</v>
      </c>
      <c r="F51" s="7" t="s">
        <v>68</v>
      </c>
      <c r="G51" s="7">
        <v>347.56</v>
      </c>
      <c r="H51" s="7">
        <v>13215.02</v>
      </c>
      <c r="I51" s="7">
        <v>360.84</v>
      </c>
      <c r="J51" s="7">
        <v>471.69</v>
      </c>
      <c r="K51" s="7">
        <v>106.2</v>
      </c>
      <c r="L51" s="7">
        <v>27</v>
      </c>
      <c r="M51" s="7">
        <v>9.92</v>
      </c>
      <c r="N51" s="7">
        <v>5235.1499999999996</v>
      </c>
      <c r="O51" s="7">
        <v>57.93</v>
      </c>
      <c r="P51" s="7">
        <v>164.44</v>
      </c>
      <c r="Q51" s="7">
        <v>15.04</v>
      </c>
      <c r="R51" s="7">
        <v>71.260000000000005</v>
      </c>
      <c r="S51" s="7">
        <v>7.63</v>
      </c>
      <c r="T51" s="7">
        <v>71.16</v>
      </c>
      <c r="U51" s="7">
        <v>23.94</v>
      </c>
      <c r="V51" s="7">
        <v>20163.5</v>
      </c>
      <c r="W51" s="7">
        <v>127.1</v>
      </c>
      <c r="X51" s="7" t="s">
        <v>68</v>
      </c>
      <c r="Y51" s="7">
        <v>69.400000000000006</v>
      </c>
      <c r="Z51" s="7">
        <v>41.29</v>
      </c>
      <c r="AA51" s="7">
        <v>12.51</v>
      </c>
      <c r="AB51" s="7">
        <v>24.2</v>
      </c>
      <c r="AC51" s="7">
        <v>7.56</v>
      </c>
      <c r="AD51" s="7">
        <v>43.77</v>
      </c>
      <c r="AE51" s="7">
        <v>4.72</v>
      </c>
      <c r="AF51" s="7">
        <v>61.36</v>
      </c>
      <c r="AG51" s="7">
        <v>3.47</v>
      </c>
      <c r="AH51" s="7" t="s">
        <v>68</v>
      </c>
      <c r="AI51" s="7">
        <v>2.2799999999999998</v>
      </c>
      <c r="AJ51" s="7">
        <v>162.21</v>
      </c>
      <c r="AK51" s="7">
        <v>2.97</v>
      </c>
      <c r="AL51" s="7">
        <v>125.07</v>
      </c>
      <c r="AM51" s="7">
        <v>2.2999999999999998</v>
      </c>
      <c r="AN51" s="7">
        <v>245.66</v>
      </c>
      <c r="AO51" s="7">
        <v>3.16</v>
      </c>
      <c r="AP51" s="7">
        <v>20.45</v>
      </c>
      <c r="AQ51" s="7">
        <v>1.79</v>
      </c>
      <c r="AR51" s="7" t="s">
        <v>68</v>
      </c>
      <c r="AS51" s="7">
        <v>4.6100000000000003</v>
      </c>
      <c r="AT51" s="7" t="s">
        <v>68</v>
      </c>
      <c r="AU51" s="7">
        <v>4.26</v>
      </c>
      <c r="AV51" s="7" t="s">
        <v>68</v>
      </c>
      <c r="AW51" s="7">
        <v>6.1</v>
      </c>
      <c r="AX51" s="7" t="s">
        <v>68</v>
      </c>
      <c r="AY51" s="7">
        <v>4.5199999999999996</v>
      </c>
      <c r="AZ51" s="7" t="s">
        <v>68</v>
      </c>
      <c r="BA51" s="7">
        <v>6.9</v>
      </c>
      <c r="BB51" s="7" t="s">
        <v>68</v>
      </c>
      <c r="BC51" s="7">
        <v>14.02</v>
      </c>
      <c r="BD51" s="7">
        <v>6.89</v>
      </c>
      <c r="BE51" s="7">
        <v>3.09</v>
      </c>
      <c r="BF51" s="7">
        <v>198.97</v>
      </c>
      <c r="BG51" s="7">
        <v>14.71</v>
      </c>
      <c r="BH51" s="7">
        <v>23.08</v>
      </c>
      <c r="BI51" s="7">
        <v>15.21</v>
      </c>
      <c r="BJ51" s="7">
        <v>4.6100000000000003</v>
      </c>
      <c r="BK51" s="7">
        <v>2.3199999999999998</v>
      </c>
      <c r="BL51" s="7" t="s">
        <v>68</v>
      </c>
      <c r="BM51" s="7">
        <v>5.05</v>
      </c>
      <c r="BN51" s="7">
        <v>28.46</v>
      </c>
      <c r="BO51" s="7">
        <v>2.98</v>
      </c>
      <c r="BP51" s="7">
        <v>17.399999999999999</v>
      </c>
      <c r="BQ51" s="7">
        <v>2.11</v>
      </c>
      <c r="BR51" s="7">
        <v>12.88</v>
      </c>
      <c r="BS51" s="7">
        <v>3.42</v>
      </c>
    </row>
    <row r="52" spans="1:71">
      <c r="A52" s="7">
        <v>50</v>
      </c>
      <c r="B52" s="7">
        <f t="shared" si="0"/>
        <v>1023.75</v>
      </c>
      <c r="C52" s="9" t="s">
        <v>121</v>
      </c>
      <c r="D52" s="7">
        <v>21886.38</v>
      </c>
      <c r="E52" s="7">
        <v>186.96</v>
      </c>
      <c r="F52" s="7" t="s">
        <v>68</v>
      </c>
      <c r="G52" s="7">
        <v>353.98</v>
      </c>
      <c r="H52" s="7">
        <v>12489.38</v>
      </c>
      <c r="I52" s="7">
        <v>348.18</v>
      </c>
      <c r="J52" s="7">
        <v>1283.19</v>
      </c>
      <c r="K52" s="7">
        <v>103.32</v>
      </c>
      <c r="L52" s="7">
        <v>22.87</v>
      </c>
      <c r="M52" s="7">
        <v>10.42</v>
      </c>
      <c r="N52" s="7">
        <v>4755.7299999999996</v>
      </c>
      <c r="O52" s="7">
        <v>55.26</v>
      </c>
      <c r="P52" s="7">
        <v>168.38</v>
      </c>
      <c r="Q52" s="7">
        <v>14.56</v>
      </c>
      <c r="R52" s="7">
        <v>59.54</v>
      </c>
      <c r="S52" s="7">
        <v>7.4</v>
      </c>
      <c r="T52" s="7">
        <v>90.41</v>
      </c>
      <c r="U52" s="7">
        <v>24.12</v>
      </c>
      <c r="V52" s="7">
        <v>20606.21</v>
      </c>
      <c r="W52" s="7">
        <v>127.85</v>
      </c>
      <c r="X52" s="7" t="s">
        <v>68</v>
      </c>
      <c r="Y52" s="7">
        <v>69.739999999999995</v>
      </c>
      <c r="Z52" s="7">
        <v>26.55</v>
      </c>
      <c r="AA52" s="7">
        <v>12.27</v>
      </c>
      <c r="AB52" s="7" t="s">
        <v>68</v>
      </c>
      <c r="AC52" s="7">
        <v>10.77</v>
      </c>
      <c r="AD52" s="7">
        <v>57.28</v>
      </c>
      <c r="AE52" s="7">
        <v>4.99</v>
      </c>
      <c r="AF52" s="7">
        <v>62.27</v>
      </c>
      <c r="AG52" s="7">
        <v>3.62</v>
      </c>
      <c r="AH52" s="7" t="s">
        <v>68</v>
      </c>
      <c r="AI52" s="7">
        <v>2.17</v>
      </c>
      <c r="AJ52" s="7">
        <v>153.97</v>
      </c>
      <c r="AK52" s="7">
        <v>2.89</v>
      </c>
      <c r="AL52" s="7">
        <v>130.71</v>
      </c>
      <c r="AM52" s="7">
        <v>2.34</v>
      </c>
      <c r="AN52" s="7">
        <v>256.10000000000002</v>
      </c>
      <c r="AO52" s="7">
        <v>3.21</v>
      </c>
      <c r="AP52" s="7">
        <v>25.17</v>
      </c>
      <c r="AQ52" s="7">
        <v>1.82</v>
      </c>
      <c r="AR52" s="7" t="s">
        <v>68</v>
      </c>
      <c r="AS52" s="7">
        <v>4.4400000000000004</v>
      </c>
      <c r="AT52" s="7" t="s">
        <v>68</v>
      </c>
      <c r="AU52" s="7">
        <v>4.17</v>
      </c>
      <c r="AV52" s="7" t="s">
        <v>68</v>
      </c>
      <c r="AW52" s="7">
        <v>6.04</v>
      </c>
      <c r="AX52" s="7" t="s">
        <v>68</v>
      </c>
      <c r="AY52" s="7">
        <v>4.5</v>
      </c>
      <c r="AZ52" s="7" t="s">
        <v>68</v>
      </c>
      <c r="BA52" s="7">
        <v>6.87</v>
      </c>
      <c r="BB52" s="7" t="s">
        <v>68</v>
      </c>
      <c r="BC52" s="7">
        <v>14</v>
      </c>
      <c r="BD52" s="7" t="s">
        <v>68</v>
      </c>
      <c r="BE52" s="7">
        <v>4.59</v>
      </c>
      <c r="BF52" s="7">
        <v>146.5</v>
      </c>
      <c r="BG52" s="7">
        <v>14.43</v>
      </c>
      <c r="BH52" s="7" t="s">
        <v>68</v>
      </c>
      <c r="BI52" s="7">
        <v>21.94</v>
      </c>
      <c r="BJ52" s="7" t="s">
        <v>68</v>
      </c>
      <c r="BK52" s="7">
        <v>3.36</v>
      </c>
      <c r="BL52" s="7" t="s">
        <v>68</v>
      </c>
      <c r="BM52" s="7">
        <v>4.9400000000000004</v>
      </c>
      <c r="BN52" s="7">
        <v>38.46</v>
      </c>
      <c r="BO52" s="7">
        <v>3.25</v>
      </c>
      <c r="BP52" s="7">
        <v>17.100000000000001</v>
      </c>
      <c r="BQ52" s="7">
        <v>2.1</v>
      </c>
      <c r="BR52" s="7">
        <v>12.24</v>
      </c>
      <c r="BS52" s="7">
        <v>3.35</v>
      </c>
    </row>
    <row r="53" spans="1:71">
      <c r="A53" s="7">
        <v>51</v>
      </c>
      <c r="B53" s="7">
        <f t="shared" si="0"/>
        <v>1003.75</v>
      </c>
      <c r="C53" s="9" t="s">
        <v>122</v>
      </c>
      <c r="D53" s="7">
        <v>22379.26</v>
      </c>
      <c r="E53" s="7">
        <v>192.27</v>
      </c>
      <c r="F53" s="7" t="s">
        <v>68</v>
      </c>
      <c r="G53" s="7">
        <v>361.13</v>
      </c>
      <c r="H53" s="7">
        <v>10799.95</v>
      </c>
      <c r="I53" s="7">
        <v>331.29</v>
      </c>
      <c r="J53" s="7">
        <v>620.25</v>
      </c>
      <c r="K53" s="7">
        <v>107.28</v>
      </c>
      <c r="L53" s="7">
        <v>34.26</v>
      </c>
      <c r="M53" s="7">
        <v>10.37</v>
      </c>
      <c r="N53" s="7">
        <v>4937.01</v>
      </c>
      <c r="O53" s="7">
        <v>56.85</v>
      </c>
      <c r="P53" s="7">
        <v>158.19</v>
      </c>
      <c r="Q53" s="7">
        <v>14.81</v>
      </c>
      <c r="R53" s="7">
        <v>62.67</v>
      </c>
      <c r="S53" s="7">
        <v>7.58</v>
      </c>
      <c r="T53" s="7">
        <v>62.97</v>
      </c>
      <c r="U53" s="7">
        <v>23.59</v>
      </c>
      <c r="V53" s="7">
        <v>20029.599999999999</v>
      </c>
      <c r="W53" s="7">
        <v>126.53</v>
      </c>
      <c r="X53" s="7" t="s">
        <v>68</v>
      </c>
      <c r="Y53" s="7">
        <v>69.37</v>
      </c>
      <c r="Z53" s="7">
        <v>57.27</v>
      </c>
      <c r="AA53" s="7">
        <v>12.7</v>
      </c>
      <c r="AB53" s="7">
        <v>11.91</v>
      </c>
      <c r="AC53" s="7">
        <v>7.29</v>
      </c>
      <c r="AD53" s="7">
        <v>48.61</v>
      </c>
      <c r="AE53" s="7">
        <v>4.79</v>
      </c>
      <c r="AF53" s="7">
        <v>54.31</v>
      </c>
      <c r="AG53" s="7">
        <v>3.48</v>
      </c>
      <c r="AH53" s="7" t="s">
        <v>68</v>
      </c>
      <c r="AI53" s="7">
        <v>2.16</v>
      </c>
      <c r="AJ53" s="7">
        <v>148.63</v>
      </c>
      <c r="AK53" s="7">
        <v>2.85</v>
      </c>
      <c r="AL53" s="7">
        <v>119.9</v>
      </c>
      <c r="AM53" s="7">
        <v>2.25</v>
      </c>
      <c r="AN53" s="7">
        <v>254.78</v>
      </c>
      <c r="AO53" s="7">
        <v>3.2</v>
      </c>
      <c r="AP53" s="7">
        <v>20.91</v>
      </c>
      <c r="AQ53" s="7">
        <v>1.79</v>
      </c>
      <c r="AR53" s="7" t="s">
        <v>68</v>
      </c>
      <c r="AS53" s="7">
        <v>4.5599999999999996</v>
      </c>
      <c r="AT53" s="7" t="s">
        <v>68</v>
      </c>
      <c r="AU53" s="7">
        <v>4.24</v>
      </c>
      <c r="AV53" s="7" t="s">
        <v>68</v>
      </c>
      <c r="AW53" s="7">
        <v>6.04</v>
      </c>
      <c r="AX53" s="7" t="s">
        <v>68</v>
      </c>
      <c r="AY53" s="7">
        <v>4.51</v>
      </c>
      <c r="AZ53" s="7" t="s">
        <v>68</v>
      </c>
      <c r="BA53" s="7">
        <v>6.88</v>
      </c>
      <c r="BB53" s="7" t="s">
        <v>68</v>
      </c>
      <c r="BC53" s="7">
        <v>14.05</v>
      </c>
      <c r="BD53" s="7" t="s">
        <v>68</v>
      </c>
      <c r="BE53" s="7">
        <v>4.6100000000000003</v>
      </c>
      <c r="BF53" s="7">
        <v>168.18</v>
      </c>
      <c r="BG53" s="7">
        <v>14.52</v>
      </c>
      <c r="BH53" s="7" t="s">
        <v>68</v>
      </c>
      <c r="BI53" s="7">
        <v>22.07</v>
      </c>
      <c r="BJ53" s="7" t="s">
        <v>68</v>
      </c>
      <c r="BK53" s="7">
        <v>3.35</v>
      </c>
      <c r="BL53" s="7" t="s">
        <v>68</v>
      </c>
      <c r="BM53" s="7">
        <v>4.95</v>
      </c>
      <c r="BN53" s="7">
        <v>36.409999999999997</v>
      </c>
      <c r="BO53" s="7">
        <v>3.2</v>
      </c>
      <c r="BP53" s="7">
        <v>15.17</v>
      </c>
      <c r="BQ53" s="7">
        <v>2.0499999999999998</v>
      </c>
      <c r="BR53" s="7">
        <v>10.33</v>
      </c>
      <c r="BS53" s="7">
        <v>3.29</v>
      </c>
    </row>
    <row r="54" spans="1:71">
      <c r="A54" s="7">
        <v>52</v>
      </c>
      <c r="B54" s="7">
        <f t="shared" si="0"/>
        <v>983.75</v>
      </c>
      <c r="C54" s="9" t="s">
        <v>123</v>
      </c>
      <c r="D54" s="7">
        <v>22582.3</v>
      </c>
      <c r="E54" s="7">
        <v>195.03</v>
      </c>
      <c r="F54" s="7" t="s">
        <v>68</v>
      </c>
      <c r="G54" s="7">
        <v>345.28</v>
      </c>
      <c r="H54" s="7">
        <v>12297.17</v>
      </c>
      <c r="I54" s="7">
        <v>355.45</v>
      </c>
      <c r="J54" s="7">
        <v>1244.29</v>
      </c>
      <c r="K54" s="7">
        <v>103.63</v>
      </c>
      <c r="L54" s="7">
        <v>23.99</v>
      </c>
      <c r="M54" s="7">
        <v>10.38</v>
      </c>
      <c r="N54" s="7">
        <v>4957.16</v>
      </c>
      <c r="O54" s="7">
        <v>57.55</v>
      </c>
      <c r="P54" s="7">
        <v>167.65</v>
      </c>
      <c r="Q54" s="7">
        <v>15.06</v>
      </c>
      <c r="R54" s="7">
        <v>67.16</v>
      </c>
      <c r="S54" s="7">
        <v>7.69</v>
      </c>
      <c r="T54" s="7">
        <v>63.77</v>
      </c>
      <c r="U54" s="7">
        <v>23.77</v>
      </c>
      <c r="V54" s="7">
        <v>22366.13</v>
      </c>
      <c r="W54" s="7">
        <v>133.38</v>
      </c>
      <c r="X54" s="7" t="s">
        <v>68</v>
      </c>
      <c r="Y54" s="7">
        <v>73.260000000000005</v>
      </c>
      <c r="Z54" s="7">
        <v>25.01</v>
      </c>
      <c r="AA54" s="7">
        <v>12.36</v>
      </c>
      <c r="AB54" s="7">
        <v>14.18</v>
      </c>
      <c r="AC54" s="7">
        <v>7.32</v>
      </c>
      <c r="AD54" s="7">
        <v>53.34</v>
      </c>
      <c r="AE54" s="7">
        <v>4.92</v>
      </c>
      <c r="AF54" s="7">
        <v>59.72</v>
      </c>
      <c r="AG54" s="7">
        <v>3.52</v>
      </c>
      <c r="AH54" s="7" t="s">
        <v>68</v>
      </c>
      <c r="AI54" s="7">
        <v>2.14</v>
      </c>
      <c r="AJ54" s="7">
        <v>156.63</v>
      </c>
      <c r="AK54" s="7">
        <v>2.9</v>
      </c>
      <c r="AL54" s="7">
        <v>126.3</v>
      </c>
      <c r="AM54" s="7">
        <v>2.2999999999999998</v>
      </c>
      <c r="AN54" s="7">
        <v>238.69</v>
      </c>
      <c r="AO54" s="7">
        <v>3.12</v>
      </c>
      <c r="AP54" s="7">
        <v>23.78</v>
      </c>
      <c r="AQ54" s="7">
        <v>1.8</v>
      </c>
      <c r="AR54" s="7" t="s">
        <v>68</v>
      </c>
      <c r="AS54" s="7">
        <v>4.6500000000000004</v>
      </c>
      <c r="AT54" s="7" t="s">
        <v>68</v>
      </c>
      <c r="AU54" s="7">
        <v>4.3099999999999996</v>
      </c>
      <c r="AV54" s="7" t="s">
        <v>68</v>
      </c>
      <c r="AW54" s="7">
        <v>6.14</v>
      </c>
      <c r="AX54" s="7" t="s">
        <v>68</v>
      </c>
      <c r="AY54" s="7">
        <v>4.5999999999999996</v>
      </c>
      <c r="AZ54" s="7" t="s">
        <v>68</v>
      </c>
      <c r="BA54" s="7">
        <v>6.92</v>
      </c>
      <c r="BB54" s="7" t="s">
        <v>68</v>
      </c>
      <c r="BC54" s="7">
        <v>14.1</v>
      </c>
      <c r="BD54" s="7" t="s">
        <v>68</v>
      </c>
      <c r="BE54" s="7">
        <v>4.6500000000000004</v>
      </c>
      <c r="BF54" s="7">
        <v>135.43</v>
      </c>
      <c r="BG54" s="7">
        <v>14.59</v>
      </c>
      <c r="BH54" s="7" t="s">
        <v>68</v>
      </c>
      <c r="BI54" s="7">
        <v>22.2</v>
      </c>
      <c r="BJ54" s="7">
        <v>4.63</v>
      </c>
      <c r="BK54" s="7">
        <v>2.27</v>
      </c>
      <c r="BL54" s="7" t="s">
        <v>68</v>
      </c>
      <c r="BM54" s="7">
        <v>4.91</v>
      </c>
      <c r="BN54" s="7">
        <v>34.21</v>
      </c>
      <c r="BO54" s="7">
        <v>3.13</v>
      </c>
      <c r="BP54" s="7">
        <v>15.16</v>
      </c>
      <c r="BQ54" s="7">
        <v>2.0499999999999998</v>
      </c>
      <c r="BR54" s="7">
        <v>5.53</v>
      </c>
      <c r="BS54" s="7">
        <v>3.25</v>
      </c>
    </row>
    <row r="55" spans="1:71">
      <c r="A55" s="7">
        <v>53</v>
      </c>
      <c r="B55" s="7">
        <f t="shared" si="0"/>
        <v>963.75</v>
      </c>
      <c r="C55" s="9" t="s">
        <v>124</v>
      </c>
      <c r="D55" s="7">
        <v>23307.99</v>
      </c>
      <c r="E55" s="7">
        <v>201.29</v>
      </c>
      <c r="F55" s="7" t="s">
        <v>68</v>
      </c>
      <c r="G55" s="7">
        <v>370.74</v>
      </c>
      <c r="H55" s="7">
        <v>16790.810000000001</v>
      </c>
      <c r="I55" s="7">
        <v>418.38</v>
      </c>
      <c r="J55" s="7">
        <v>1107.8800000000001</v>
      </c>
      <c r="K55" s="7">
        <v>105.79</v>
      </c>
      <c r="L55" s="7">
        <v>31.16</v>
      </c>
      <c r="M55" s="7">
        <v>10.66</v>
      </c>
      <c r="N55" s="7">
        <v>5080.63</v>
      </c>
      <c r="O55" s="7">
        <v>59.15</v>
      </c>
      <c r="P55" s="7">
        <v>159.9</v>
      </c>
      <c r="Q55" s="7">
        <v>15.37</v>
      </c>
      <c r="R55" s="7">
        <v>76.25</v>
      </c>
      <c r="S55" s="7">
        <v>7.92</v>
      </c>
      <c r="T55" s="7">
        <v>83.84</v>
      </c>
      <c r="U55" s="7">
        <v>24.47</v>
      </c>
      <c r="V55" s="7">
        <v>24903.46</v>
      </c>
      <c r="W55" s="7">
        <v>141.76</v>
      </c>
      <c r="X55" s="7">
        <v>119.8</v>
      </c>
      <c r="Y55" s="7">
        <v>52.14</v>
      </c>
      <c r="Z55" s="7">
        <v>29.66</v>
      </c>
      <c r="AA55" s="7">
        <v>12.63</v>
      </c>
      <c r="AB55" s="7">
        <v>19.399999999999999</v>
      </c>
      <c r="AC55" s="7">
        <v>7.53</v>
      </c>
      <c r="AD55" s="7">
        <v>51.75</v>
      </c>
      <c r="AE55" s="7">
        <v>4.9400000000000004</v>
      </c>
      <c r="AF55" s="7">
        <v>64.099999999999994</v>
      </c>
      <c r="AG55" s="7">
        <v>3.58</v>
      </c>
      <c r="AH55" s="7" t="s">
        <v>68</v>
      </c>
      <c r="AI55" s="7">
        <v>2.21</v>
      </c>
      <c r="AJ55" s="7">
        <v>160.69999999999999</v>
      </c>
      <c r="AK55" s="7">
        <v>2.96</v>
      </c>
      <c r="AL55" s="7">
        <v>121.47</v>
      </c>
      <c r="AM55" s="7">
        <v>2.2799999999999998</v>
      </c>
      <c r="AN55" s="7">
        <v>217.34</v>
      </c>
      <c r="AO55" s="7">
        <v>3.02</v>
      </c>
      <c r="AP55" s="7">
        <v>22.61</v>
      </c>
      <c r="AQ55" s="7">
        <v>1.79</v>
      </c>
      <c r="AR55" s="7" t="s">
        <v>68</v>
      </c>
      <c r="AS55" s="7">
        <v>4.57</v>
      </c>
      <c r="AT55" s="7" t="s">
        <v>68</v>
      </c>
      <c r="AU55" s="7">
        <v>4.37</v>
      </c>
      <c r="AV55" s="7" t="s">
        <v>68</v>
      </c>
      <c r="AW55" s="7">
        <v>6.21</v>
      </c>
      <c r="AX55" s="7" t="s">
        <v>68</v>
      </c>
      <c r="AY55" s="7">
        <v>4.62</v>
      </c>
      <c r="AZ55" s="7" t="s">
        <v>68</v>
      </c>
      <c r="BA55" s="7">
        <v>7.13</v>
      </c>
      <c r="BB55" s="7" t="s">
        <v>68</v>
      </c>
      <c r="BC55" s="7">
        <v>14.32</v>
      </c>
      <c r="BD55" s="7" t="s">
        <v>68</v>
      </c>
      <c r="BE55" s="7">
        <v>4.7300000000000004</v>
      </c>
      <c r="BF55" s="7">
        <v>162.47999999999999</v>
      </c>
      <c r="BG55" s="7">
        <v>14.88</v>
      </c>
      <c r="BH55" s="7" t="s">
        <v>68</v>
      </c>
      <c r="BI55" s="7">
        <v>22.65</v>
      </c>
      <c r="BJ55" s="7">
        <v>3.77</v>
      </c>
      <c r="BK55" s="7">
        <v>2.29</v>
      </c>
      <c r="BL55" s="7" t="s">
        <v>68</v>
      </c>
      <c r="BM55" s="7">
        <v>5.1100000000000003</v>
      </c>
      <c r="BN55" s="7">
        <v>31.74</v>
      </c>
      <c r="BO55" s="7">
        <v>3.09</v>
      </c>
      <c r="BP55" s="7">
        <v>15.4</v>
      </c>
      <c r="BQ55" s="7">
        <v>2.08</v>
      </c>
      <c r="BR55" s="7">
        <v>6.47</v>
      </c>
      <c r="BS55" s="7">
        <v>3.33</v>
      </c>
    </row>
    <row r="56" spans="1:71">
      <c r="A56" s="7">
        <v>54</v>
      </c>
      <c r="B56" s="7">
        <f t="shared" si="0"/>
        <v>943.75</v>
      </c>
      <c r="C56" s="9" t="s">
        <v>125</v>
      </c>
      <c r="D56" s="7">
        <v>23544.21</v>
      </c>
      <c r="E56" s="7">
        <v>197.34</v>
      </c>
      <c r="F56" s="7" t="s">
        <v>68</v>
      </c>
      <c r="G56" s="7">
        <v>377.42</v>
      </c>
      <c r="H56" s="7">
        <v>14487.87</v>
      </c>
      <c r="I56" s="7">
        <v>380.65</v>
      </c>
      <c r="J56" s="7">
        <v>1168.0999999999999</v>
      </c>
      <c r="K56" s="7">
        <v>102.38</v>
      </c>
      <c r="L56" s="7">
        <v>29.17</v>
      </c>
      <c r="M56" s="7">
        <v>10.31</v>
      </c>
      <c r="N56" s="7">
        <v>5049.33</v>
      </c>
      <c r="O56" s="7">
        <v>57.67</v>
      </c>
      <c r="P56" s="7">
        <v>166.45</v>
      </c>
      <c r="Q56" s="7">
        <v>15.05</v>
      </c>
      <c r="R56" s="7">
        <v>74.150000000000006</v>
      </c>
      <c r="S56" s="7">
        <v>7.69</v>
      </c>
      <c r="T56" s="7">
        <v>51</v>
      </c>
      <c r="U56" s="7">
        <v>23.79</v>
      </c>
      <c r="V56" s="7">
        <v>23477.58</v>
      </c>
      <c r="W56" s="7">
        <v>137.97</v>
      </c>
      <c r="X56" s="7" t="s">
        <v>68</v>
      </c>
      <c r="Y56" s="7">
        <v>75.48</v>
      </c>
      <c r="Z56" s="7">
        <v>36.090000000000003</v>
      </c>
      <c r="AA56" s="7">
        <v>12.65</v>
      </c>
      <c r="AB56" s="7">
        <v>14.2</v>
      </c>
      <c r="AC56" s="7">
        <v>7.43</v>
      </c>
      <c r="AD56" s="7">
        <v>63.08</v>
      </c>
      <c r="AE56" s="7">
        <v>5.21</v>
      </c>
      <c r="AF56" s="7">
        <v>53.23</v>
      </c>
      <c r="AG56" s="7">
        <v>3.4</v>
      </c>
      <c r="AH56" s="7" t="s">
        <v>68</v>
      </c>
      <c r="AI56" s="7">
        <v>2.2000000000000002</v>
      </c>
      <c r="AJ56" s="7">
        <v>159.97</v>
      </c>
      <c r="AK56" s="7">
        <v>2.95</v>
      </c>
      <c r="AL56" s="7">
        <v>119.44</v>
      </c>
      <c r="AM56" s="7">
        <v>2.27</v>
      </c>
      <c r="AN56" s="7">
        <v>232.22</v>
      </c>
      <c r="AO56" s="7">
        <v>3.11</v>
      </c>
      <c r="AP56" s="7">
        <v>18.75</v>
      </c>
      <c r="AQ56" s="7">
        <v>1.76</v>
      </c>
      <c r="AR56" s="7" t="s">
        <v>68</v>
      </c>
      <c r="AS56" s="7">
        <v>4.55</v>
      </c>
      <c r="AT56" s="7" t="s">
        <v>68</v>
      </c>
      <c r="AU56" s="7">
        <v>4.3</v>
      </c>
      <c r="AV56" s="7" t="s">
        <v>68</v>
      </c>
      <c r="AW56" s="7">
        <v>6.17</v>
      </c>
      <c r="AX56" s="7" t="s">
        <v>68</v>
      </c>
      <c r="AY56" s="7">
        <v>4.5999999999999996</v>
      </c>
      <c r="AZ56" s="7" t="s">
        <v>68</v>
      </c>
      <c r="BA56" s="7">
        <v>6.93</v>
      </c>
      <c r="BB56" s="7" t="s">
        <v>68</v>
      </c>
      <c r="BC56" s="7">
        <v>14.2</v>
      </c>
      <c r="BD56" s="7" t="s">
        <v>68</v>
      </c>
      <c r="BE56" s="7">
        <v>4.66</v>
      </c>
      <c r="BF56" s="7">
        <v>149.15</v>
      </c>
      <c r="BG56" s="7">
        <v>14.64</v>
      </c>
      <c r="BH56" s="7" t="s">
        <v>68</v>
      </c>
      <c r="BI56" s="7">
        <v>22.7</v>
      </c>
      <c r="BJ56" s="7" t="s">
        <v>68</v>
      </c>
      <c r="BK56" s="7">
        <v>3.37</v>
      </c>
      <c r="BL56" s="7" t="s">
        <v>68</v>
      </c>
      <c r="BM56" s="7">
        <v>5.1100000000000003</v>
      </c>
      <c r="BN56" s="7">
        <v>30.92</v>
      </c>
      <c r="BO56" s="7">
        <v>3.07</v>
      </c>
      <c r="BP56" s="7">
        <v>14.91</v>
      </c>
      <c r="BQ56" s="7">
        <v>2.0699999999999998</v>
      </c>
      <c r="BR56" s="7" t="s">
        <v>68</v>
      </c>
      <c r="BS56" s="7">
        <v>4.91</v>
      </c>
    </row>
    <row r="57" spans="1:71">
      <c r="A57" s="7">
        <v>55</v>
      </c>
      <c r="B57" s="7">
        <f t="shared" si="0"/>
        <v>923.75</v>
      </c>
      <c r="C57" s="9" t="s">
        <v>126</v>
      </c>
      <c r="D57" s="7">
        <v>23579.58</v>
      </c>
      <c r="E57" s="7">
        <v>199.96</v>
      </c>
      <c r="F57" s="7" t="s">
        <v>68</v>
      </c>
      <c r="G57" s="7">
        <v>379.89</v>
      </c>
      <c r="H57" s="7">
        <v>14401.09</v>
      </c>
      <c r="I57" s="7">
        <v>384.26</v>
      </c>
      <c r="J57" s="7">
        <v>1292.27</v>
      </c>
      <c r="K57" s="7">
        <v>104.92</v>
      </c>
      <c r="L57" s="7">
        <v>23.19</v>
      </c>
      <c r="M57" s="7">
        <v>10.47</v>
      </c>
      <c r="N57" s="7">
        <v>5101.92</v>
      </c>
      <c r="O57" s="7">
        <v>58.65</v>
      </c>
      <c r="P57" s="7">
        <v>164.12</v>
      </c>
      <c r="Q57" s="7">
        <v>15.28</v>
      </c>
      <c r="R57" s="7">
        <v>74.08</v>
      </c>
      <c r="S57" s="7">
        <v>7.85</v>
      </c>
      <c r="T57" s="7">
        <v>46.34</v>
      </c>
      <c r="U57" s="7">
        <v>22.88</v>
      </c>
      <c r="V57" s="7">
        <v>21508.78</v>
      </c>
      <c r="W57" s="7">
        <v>129.19</v>
      </c>
      <c r="X57" s="7" t="s">
        <v>68</v>
      </c>
      <c r="Y57" s="7">
        <v>70.790000000000006</v>
      </c>
      <c r="Z57" s="7">
        <v>18.73</v>
      </c>
      <c r="AA57" s="7">
        <v>12.05</v>
      </c>
      <c r="AB57" s="7">
        <v>12.27</v>
      </c>
      <c r="AC57" s="7">
        <v>7.15</v>
      </c>
      <c r="AD57" s="7">
        <v>53.13</v>
      </c>
      <c r="AE57" s="7">
        <v>4.83</v>
      </c>
      <c r="AF57" s="7">
        <v>46.1</v>
      </c>
      <c r="AG57" s="7">
        <v>3.14</v>
      </c>
      <c r="AH57" s="7" t="s">
        <v>68</v>
      </c>
      <c r="AI57" s="7">
        <v>2.14</v>
      </c>
      <c r="AJ57" s="7">
        <v>161.19</v>
      </c>
      <c r="AK57" s="7">
        <v>2.9</v>
      </c>
      <c r="AL57" s="7">
        <v>122.26</v>
      </c>
      <c r="AM57" s="7">
        <v>2.2400000000000002</v>
      </c>
      <c r="AN57" s="7">
        <v>223.15</v>
      </c>
      <c r="AO57" s="7">
        <v>2.99</v>
      </c>
      <c r="AP57" s="7">
        <v>18.11</v>
      </c>
      <c r="AQ57" s="7">
        <v>1.71</v>
      </c>
      <c r="AR57" s="7" t="s">
        <v>68</v>
      </c>
      <c r="AS57" s="7">
        <v>4.49</v>
      </c>
      <c r="AT57" s="7" t="s">
        <v>68</v>
      </c>
      <c r="AU57" s="7">
        <v>4.16</v>
      </c>
      <c r="AV57" s="7" t="s">
        <v>68</v>
      </c>
      <c r="AW57" s="7">
        <v>5.99</v>
      </c>
      <c r="AX57" s="7" t="s">
        <v>68</v>
      </c>
      <c r="AY57" s="7">
        <v>4.4800000000000004</v>
      </c>
      <c r="AZ57" s="7" t="s">
        <v>68</v>
      </c>
      <c r="BA57" s="7">
        <v>6.76</v>
      </c>
      <c r="BB57" s="7" t="s">
        <v>68</v>
      </c>
      <c r="BC57" s="7">
        <v>13.81</v>
      </c>
      <c r="BD57" s="7" t="s">
        <v>68</v>
      </c>
      <c r="BE57" s="7">
        <v>4.54</v>
      </c>
      <c r="BF57" s="7">
        <v>134.18</v>
      </c>
      <c r="BG57" s="7">
        <v>14.32</v>
      </c>
      <c r="BH57" s="7" t="s">
        <v>68</v>
      </c>
      <c r="BI57" s="7">
        <v>21.43</v>
      </c>
      <c r="BJ57" s="7" t="s">
        <v>68</v>
      </c>
      <c r="BK57" s="7">
        <v>3.26</v>
      </c>
      <c r="BL57" s="7">
        <v>5.31</v>
      </c>
      <c r="BM57" s="7">
        <v>3.27</v>
      </c>
      <c r="BN57" s="7">
        <v>26.48</v>
      </c>
      <c r="BO57" s="7">
        <v>2.87</v>
      </c>
      <c r="BP57" s="7">
        <v>14.87</v>
      </c>
      <c r="BQ57" s="7">
        <v>2.0099999999999998</v>
      </c>
      <c r="BR57" s="7" t="s">
        <v>68</v>
      </c>
      <c r="BS57" s="7">
        <v>4.8499999999999996</v>
      </c>
    </row>
    <row r="58" spans="1:71">
      <c r="A58" s="7">
        <v>56</v>
      </c>
      <c r="B58" s="7">
        <f t="shared" si="0"/>
        <v>903.75</v>
      </c>
      <c r="C58" s="9" t="s">
        <v>127</v>
      </c>
      <c r="D58" s="7">
        <v>23032.2</v>
      </c>
      <c r="E58" s="7">
        <v>197.99</v>
      </c>
      <c r="F58" s="7" t="s">
        <v>68</v>
      </c>
      <c r="G58" s="7">
        <v>380.03</v>
      </c>
      <c r="H58" s="7">
        <v>15371.12</v>
      </c>
      <c r="I58" s="7">
        <v>396.73</v>
      </c>
      <c r="J58" s="7">
        <v>1285.99</v>
      </c>
      <c r="K58" s="7">
        <v>104.01</v>
      </c>
      <c r="L58" s="7">
        <v>22.03</v>
      </c>
      <c r="M58" s="7">
        <v>10.42</v>
      </c>
      <c r="N58" s="7">
        <v>4814.29</v>
      </c>
      <c r="O58" s="7">
        <v>57.54</v>
      </c>
      <c r="P58" s="7">
        <v>166.3</v>
      </c>
      <c r="Q58" s="7">
        <v>15.13</v>
      </c>
      <c r="R58" s="7">
        <v>74.569999999999993</v>
      </c>
      <c r="S58" s="7">
        <v>7.82</v>
      </c>
      <c r="T58" s="7">
        <v>52.55</v>
      </c>
      <c r="U58" s="7">
        <v>23.3</v>
      </c>
      <c r="V58" s="7">
        <v>21577.1</v>
      </c>
      <c r="W58" s="7">
        <v>130.55000000000001</v>
      </c>
      <c r="X58" s="7" t="s">
        <v>68</v>
      </c>
      <c r="Y58" s="7">
        <v>71.37</v>
      </c>
      <c r="Z58" s="7">
        <v>37.67</v>
      </c>
      <c r="AA58" s="7">
        <v>12.41</v>
      </c>
      <c r="AB58" s="7">
        <v>12.14</v>
      </c>
      <c r="AC58" s="7">
        <v>7.25</v>
      </c>
      <c r="AD58" s="7">
        <v>77.78</v>
      </c>
      <c r="AE58" s="7">
        <v>5.44</v>
      </c>
      <c r="AF58" s="7">
        <v>41.9</v>
      </c>
      <c r="AG58" s="7">
        <v>3.15</v>
      </c>
      <c r="AH58" s="7" t="s">
        <v>68</v>
      </c>
      <c r="AI58" s="7">
        <v>2.14</v>
      </c>
      <c r="AJ58" s="7">
        <v>156.72999999999999</v>
      </c>
      <c r="AK58" s="7">
        <v>2.88</v>
      </c>
      <c r="AL58" s="7">
        <v>125.22</v>
      </c>
      <c r="AM58" s="7">
        <v>2.29</v>
      </c>
      <c r="AN58" s="7">
        <v>205.64</v>
      </c>
      <c r="AO58" s="7">
        <v>2.92</v>
      </c>
      <c r="AP58" s="7">
        <v>20.55</v>
      </c>
      <c r="AQ58" s="7">
        <v>1.73</v>
      </c>
      <c r="AR58" s="7" t="s">
        <v>68</v>
      </c>
      <c r="AS58" s="7">
        <v>4.49</v>
      </c>
      <c r="AT58" s="7" t="s">
        <v>68</v>
      </c>
      <c r="AU58" s="7">
        <v>4.1399999999999997</v>
      </c>
      <c r="AV58" s="7" t="s">
        <v>68</v>
      </c>
      <c r="AW58" s="7">
        <v>6.09</v>
      </c>
      <c r="AX58" s="7" t="s">
        <v>68</v>
      </c>
      <c r="AY58" s="7">
        <v>4.47</v>
      </c>
      <c r="AZ58" s="7" t="s">
        <v>68</v>
      </c>
      <c r="BA58" s="7">
        <v>6.83</v>
      </c>
      <c r="BB58" s="7" t="s">
        <v>68</v>
      </c>
      <c r="BC58" s="7">
        <v>13.84</v>
      </c>
      <c r="BD58" s="7" t="s">
        <v>68</v>
      </c>
      <c r="BE58" s="7">
        <v>4.54</v>
      </c>
      <c r="BF58" s="7">
        <v>116.91</v>
      </c>
      <c r="BG58" s="7">
        <v>14.25</v>
      </c>
      <c r="BH58" s="7" t="s">
        <v>68</v>
      </c>
      <c r="BI58" s="7">
        <v>22</v>
      </c>
      <c r="BJ58" s="7" t="s">
        <v>68</v>
      </c>
      <c r="BK58" s="7">
        <v>3.25</v>
      </c>
      <c r="BL58" s="7" t="s">
        <v>68</v>
      </c>
      <c r="BM58" s="7">
        <v>4.96</v>
      </c>
      <c r="BN58" s="7">
        <v>29.41</v>
      </c>
      <c r="BO58" s="7">
        <v>2.98</v>
      </c>
      <c r="BP58" s="7">
        <v>16.37</v>
      </c>
      <c r="BQ58" s="7">
        <v>2.06</v>
      </c>
      <c r="BR58" s="7" t="s">
        <v>68</v>
      </c>
      <c r="BS58" s="7">
        <v>4.76</v>
      </c>
    </row>
    <row r="59" spans="1:71">
      <c r="A59" s="7">
        <v>57</v>
      </c>
      <c r="B59" s="7">
        <f t="shared" si="0"/>
        <v>883.75</v>
      </c>
      <c r="C59" s="9" t="s">
        <v>128</v>
      </c>
      <c r="D59" s="7">
        <v>22366.21</v>
      </c>
      <c r="E59" s="7">
        <v>204.08</v>
      </c>
      <c r="F59" s="7" t="s">
        <v>68</v>
      </c>
      <c r="G59" s="7">
        <v>391.95</v>
      </c>
      <c r="H59" s="7">
        <v>22774.09</v>
      </c>
      <c r="I59" s="7">
        <v>500.77</v>
      </c>
      <c r="J59" s="7">
        <v>1290.22</v>
      </c>
      <c r="K59" s="7">
        <v>106.95</v>
      </c>
      <c r="L59" s="7">
        <v>26.84</v>
      </c>
      <c r="M59" s="7">
        <v>10.99</v>
      </c>
      <c r="N59" s="7">
        <v>4742.87</v>
      </c>
      <c r="O59" s="7">
        <v>59.38</v>
      </c>
      <c r="P59" s="7">
        <v>165.86</v>
      </c>
      <c r="Q59" s="7">
        <v>15.61</v>
      </c>
      <c r="R59" s="7">
        <v>70.72</v>
      </c>
      <c r="S59" s="7">
        <v>8.15</v>
      </c>
      <c r="T59" s="7">
        <v>101.76</v>
      </c>
      <c r="U59" s="7">
        <v>25.32</v>
      </c>
      <c r="V59" s="7">
        <v>29344.53</v>
      </c>
      <c r="W59" s="7">
        <v>154.72</v>
      </c>
      <c r="X59" s="7" t="s">
        <v>68</v>
      </c>
      <c r="Y59" s="7">
        <v>84.6</v>
      </c>
      <c r="Z59" s="7">
        <v>29.6</v>
      </c>
      <c r="AA59" s="7">
        <v>12.76</v>
      </c>
      <c r="AB59" s="7" t="s">
        <v>68</v>
      </c>
      <c r="AC59" s="7">
        <v>11.13</v>
      </c>
      <c r="AD59" s="7">
        <v>81.11</v>
      </c>
      <c r="AE59" s="7">
        <v>5.62</v>
      </c>
      <c r="AF59" s="7">
        <v>57.28</v>
      </c>
      <c r="AG59" s="7">
        <v>3.45</v>
      </c>
      <c r="AH59" s="7" t="s">
        <v>68</v>
      </c>
      <c r="AI59" s="7">
        <v>2.25</v>
      </c>
      <c r="AJ59" s="7">
        <v>154.22999999999999</v>
      </c>
      <c r="AK59" s="7">
        <v>2.91</v>
      </c>
      <c r="AL59" s="7">
        <v>118.55</v>
      </c>
      <c r="AM59" s="7">
        <v>2.27</v>
      </c>
      <c r="AN59" s="7">
        <v>214.29</v>
      </c>
      <c r="AO59" s="7">
        <v>3.02</v>
      </c>
      <c r="AP59" s="7">
        <v>23.84</v>
      </c>
      <c r="AQ59" s="7">
        <v>1.8</v>
      </c>
      <c r="AR59" s="7" t="s">
        <v>68</v>
      </c>
      <c r="AS59" s="7">
        <v>4.72</v>
      </c>
      <c r="AT59" s="7" t="s">
        <v>68</v>
      </c>
      <c r="AU59" s="7">
        <v>4.3099999999999996</v>
      </c>
      <c r="AV59" s="7" t="s">
        <v>68</v>
      </c>
      <c r="AW59" s="7">
        <v>6.26</v>
      </c>
      <c r="AX59" s="7" t="s">
        <v>68</v>
      </c>
      <c r="AY59" s="7">
        <v>4.63</v>
      </c>
      <c r="AZ59" s="7" t="s">
        <v>68</v>
      </c>
      <c r="BA59" s="7">
        <v>7.1</v>
      </c>
      <c r="BB59" s="7" t="s">
        <v>68</v>
      </c>
      <c r="BC59" s="7">
        <v>14.28</v>
      </c>
      <c r="BD59" s="7" t="s">
        <v>68</v>
      </c>
      <c r="BE59" s="7">
        <v>4.71</v>
      </c>
      <c r="BF59" s="7">
        <v>116.59</v>
      </c>
      <c r="BG59" s="7">
        <v>14.69</v>
      </c>
      <c r="BH59" s="7" t="s">
        <v>68</v>
      </c>
      <c r="BI59" s="7">
        <v>22.58</v>
      </c>
      <c r="BJ59" s="7">
        <v>3.47</v>
      </c>
      <c r="BK59" s="7">
        <v>2.2799999999999998</v>
      </c>
      <c r="BL59" s="7" t="s">
        <v>68</v>
      </c>
      <c r="BM59" s="7">
        <v>5.1100000000000003</v>
      </c>
      <c r="BN59" s="7">
        <v>28.45</v>
      </c>
      <c r="BO59" s="7">
        <v>3.01</v>
      </c>
      <c r="BP59" s="7">
        <v>13.77</v>
      </c>
      <c r="BQ59" s="7">
        <v>2.0499999999999998</v>
      </c>
      <c r="BR59" s="7" t="s">
        <v>68</v>
      </c>
      <c r="BS59" s="7">
        <v>4.79</v>
      </c>
    </row>
    <row r="60" spans="1:71">
      <c r="A60" s="7">
        <v>58</v>
      </c>
      <c r="B60" s="7">
        <f t="shared" si="0"/>
        <v>863.75</v>
      </c>
      <c r="C60" s="9" t="s">
        <v>129</v>
      </c>
      <c r="D60" s="7">
        <v>22327.4</v>
      </c>
      <c r="E60" s="7">
        <v>202.76</v>
      </c>
      <c r="F60" s="7" t="s">
        <v>68</v>
      </c>
      <c r="G60" s="7">
        <v>421.73</v>
      </c>
      <c r="H60" s="7">
        <v>21359.01</v>
      </c>
      <c r="I60" s="7">
        <v>482.88</v>
      </c>
      <c r="J60" s="7">
        <v>884.66</v>
      </c>
      <c r="K60" s="7">
        <v>107.74</v>
      </c>
      <c r="L60" s="7">
        <v>22.39</v>
      </c>
      <c r="M60" s="7">
        <v>10.57</v>
      </c>
      <c r="N60" s="7">
        <v>4812.91</v>
      </c>
      <c r="O60" s="7">
        <v>59.39</v>
      </c>
      <c r="P60" s="7">
        <v>156.19</v>
      </c>
      <c r="Q60" s="7">
        <v>15.5</v>
      </c>
      <c r="R60" s="7">
        <v>69.760000000000005</v>
      </c>
      <c r="S60" s="7">
        <v>8.07</v>
      </c>
      <c r="T60" s="7">
        <v>68.61</v>
      </c>
      <c r="U60" s="7">
        <v>24.98</v>
      </c>
      <c r="V60" s="7">
        <v>29249.87</v>
      </c>
      <c r="W60" s="7">
        <v>156.52000000000001</v>
      </c>
      <c r="X60" s="7" t="s">
        <v>68</v>
      </c>
      <c r="Y60" s="7">
        <v>85.49</v>
      </c>
      <c r="Z60" s="7">
        <v>38.67</v>
      </c>
      <c r="AA60" s="7">
        <v>13.07</v>
      </c>
      <c r="AB60" s="7" t="s">
        <v>68</v>
      </c>
      <c r="AC60" s="7">
        <v>11.32</v>
      </c>
      <c r="AD60" s="7">
        <v>80.180000000000007</v>
      </c>
      <c r="AE60" s="7">
        <v>5.69</v>
      </c>
      <c r="AF60" s="7">
        <v>56.53</v>
      </c>
      <c r="AG60" s="7">
        <v>3.5</v>
      </c>
      <c r="AH60" s="7" t="s">
        <v>68</v>
      </c>
      <c r="AI60" s="7">
        <v>2.2599999999999998</v>
      </c>
      <c r="AJ60" s="7">
        <v>156.13</v>
      </c>
      <c r="AK60" s="7">
        <v>2.96</v>
      </c>
      <c r="AL60" s="7">
        <v>112.83</v>
      </c>
      <c r="AM60" s="7">
        <v>2.25</v>
      </c>
      <c r="AN60" s="7">
        <v>220.14</v>
      </c>
      <c r="AO60" s="7">
        <v>3.09</v>
      </c>
      <c r="AP60" s="7">
        <v>23.93</v>
      </c>
      <c r="AQ60" s="7">
        <v>1.83</v>
      </c>
      <c r="AR60" s="7" t="s">
        <v>68</v>
      </c>
      <c r="AS60" s="7">
        <v>4.72</v>
      </c>
      <c r="AT60" s="7" t="s">
        <v>68</v>
      </c>
      <c r="AU60" s="7">
        <v>4.4400000000000004</v>
      </c>
      <c r="AV60" s="7" t="s">
        <v>68</v>
      </c>
      <c r="AW60" s="7">
        <v>6.29</v>
      </c>
      <c r="AX60" s="7" t="s">
        <v>68</v>
      </c>
      <c r="AY60" s="7">
        <v>4.72</v>
      </c>
      <c r="AZ60" s="7" t="s">
        <v>68</v>
      </c>
      <c r="BA60" s="7">
        <v>7.16</v>
      </c>
      <c r="BB60" s="7" t="s">
        <v>68</v>
      </c>
      <c r="BC60" s="7">
        <v>14.56</v>
      </c>
      <c r="BD60" s="7" t="s">
        <v>68</v>
      </c>
      <c r="BE60" s="7">
        <v>4.78</v>
      </c>
      <c r="BF60" s="7">
        <v>164.51</v>
      </c>
      <c r="BG60" s="7">
        <v>15.12</v>
      </c>
      <c r="BH60" s="7" t="s">
        <v>68</v>
      </c>
      <c r="BI60" s="7">
        <v>23.28</v>
      </c>
      <c r="BJ60" s="7">
        <v>4.6399999999999997</v>
      </c>
      <c r="BK60" s="7">
        <v>2.36</v>
      </c>
      <c r="BL60" s="7" t="s">
        <v>68</v>
      </c>
      <c r="BM60" s="7">
        <v>5.23</v>
      </c>
      <c r="BN60" s="7">
        <v>29.49</v>
      </c>
      <c r="BO60" s="7">
        <v>3.08</v>
      </c>
      <c r="BP60" s="7">
        <v>13.17</v>
      </c>
      <c r="BQ60" s="7">
        <v>2.06</v>
      </c>
      <c r="BR60" s="7" t="s">
        <v>68</v>
      </c>
      <c r="BS60" s="7">
        <v>4.8899999999999997</v>
      </c>
    </row>
    <row r="61" spans="1:71">
      <c r="A61" s="7">
        <v>59</v>
      </c>
      <c r="B61" s="7">
        <f t="shared" si="0"/>
        <v>843.75</v>
      </c>
      <c r="C61" s="9" t="s">
        <v>130</v>
      </c>
      <c r="D61" s="7">
        <v>22584.52</v>
      </c>
      <c r="E61" s="7">
        <v>209.16</v>
      </c>
      <c r="F61" s="7" t="s">
        <v>68</v>
      </c>
      <c r="G61" s="7">
        <v>445.32</v>
      </c>
      <c r="H61" s="7">
        <v>24214.47</v>
      </c>
      <c r="I61" s="7">
        <v>526.26</v>
      </c>
      <c r="J61" s="7">
        <v>845.56</v>
      </c>
      <c r="K61" s="7">
        <v>110.99</v>
      </c>
      <c r="L61" s="7">
        <v>36.07</v>
      </c>
      <c r="M61" s="7">
        <v>11.19</v>
      </c>
      <c r="N61" s="7">
        <v>4854.21</v>
      </c>
      <c r="O61" s="7">
        <v>61.11</v>
      </c>
      <c r="P61" s="7">
        <v>173.46</v>
      </c>
      <c r="Q61" s="7">
        <v>16.079999999999998</v>
      </c>
      <c r="R61" s="7">
        <v>67.56</v>
      </c>
      <c r="S61" s="7">
        <v>8.32</v>
      </c>
      <c r="T61" s="7">
        <v>65.81</v>
      </c>
      <c r="U61" s="7">
        <v>25.02</v>
      </c>
      <c r="V61" s="7">
        <v>31906.23</v>
      </c>
      <c r="W61" s="7">
        <v>162.55000000000001</v>
      </c>
      <c r="X61" s="7" t="s">
        <v>68</v>
      </c>
      <c r="Y61" s="7">
        <v>88.65</v>
      </c>
      <c r="Z61" s="7">
        <v>45.73</v>
      </c>
      <c r="AA61" s="7">
        <v>13.16</v>
      </c>
      <c r="AB61" s="7" t="s">
        <v>68</v>
      </c>
      <c r="AC61" s="7">
        <v>11.25</v>
      </c>
      <c r="AD61" s="7">
        <v>108.04</v>
      </c>
      <c r="AE61" s="7">
        <v>6.23</v>
      </c>
      <c r="AF61" s="7">
        <v>60.12</v>
      </c>
      <c r="AG61" s="7">
        <v>3.53</v>
      </c>
      <c r="AH61" s="7" t="s">
        <v>68</v>
      </c>
      <c r="AI61" s="7">
        <v>2.2599999999999998</v>
      </c>
      <c r="AJ61" s="7">
        <v>154.80000000000001</v>
      </c>
      <c r="AK61" s="7">
        <v>2.94</v>
      </c>
      <c r="AL61" s="7">
        <v>112.08</v>
      </c>
      <c r="AM61" s="7">
        <v>2.23</v>
      </c>
      <c r="AN61" s="7">
        <v>213.85</v>
      </c>
      <c r="AO61" s="7">
        <v>3.04</v>
      </c>
      <c r="AP61" s="7">
        <v>26.79</v>
      </c>
      <c r="AQ61" s="7">
        <v>1.84</v>
      </c>
      <c r="AR61" s="7" t="s">
        <v>68</v>
      </c>
      <c r="AS61" s="7">
        <v>4.78</v>
      </c>
      <c r="AT61" s="7" t="s">
        <v>68</v>
      </c>
      <c r="AU61" s="7">
        <v>4.47</v>
      </c>
      <c r="AV61" s="7" t="s">
        <v>68</v>
      </c>
      <c r="AW61" s="7">
        <v>6.34</v>
      </c>
      <c r="AX61" s="7" t="s">
        <v>68</v>
      </c>
      <c r="AY61" s="7">
        <v>4.76</v>
      </c>
      <c r="AZ61" s="7" t="s">
        <v>68</v>
      </c>
      <c r="BA61" s="7">
        <v>7.25</v>
      </c>
      <c r="BB61" s="7" t="s">
        <v>68</v>
      </c>
      <c r="BC61" s="7">
        <v>14.7</v>
      </c>
      <c r="BD61" s="7" t="s">
        <v>68</v>
      </c>
      <c r="BE61" s="7">
        <v>4.83</v>
      </c>
      <c r="BF61" s="7">
        <v>160.22</v>
      </c>
      <c r="BG61" s="7">
        <v>15.2</v>
      </c>
      <c r="BH61" s="7" t="s">
        <v>68</v>
      </c>
      <c r="BI61" s="7">
        <v>23.07</v>
      </c>
      <c r="BJ61" s="7" t="s">
        <v>68</v>
      </c>
      <c r="BK61" s="7">
        <v>3.43</v>
      </c>
      <c r="BL61" s="7">
        <v>5.99</v>
      </c>
      <c r="BM61" s="7">
        <v>3.49</v>
      </c>
      <c r="BN61" s="7">
        <v>29.23</v>
      </c>
      <c r="BO61" s="7">
        <v>3.07</v>
      </c>
      <c r="BP61" s="7">
        <v>15.02</v>
      </c>
      <c r="BQ61" s="7">
        <v>2.11</v>
      </c>
      <c r="BR61" s="7" t="s">
        <v>68</v>
      </c>
      <c r="BS61" s="7">
        <v>4.91</v>
      </c>
    </row>
    <row r="62" spans="1:71">
      <c r="A62" s="7">
        <v>60</v>
      </c>
      <c r="B62" s="7">
        <f t="shared" si="0"/>
        <v>823.75</v>
      </c>
      <c r="C62" s="9" t="s">
        <v>131</v>
      </c>
      <c r="D62" s="7">
        <v>21647.34</v>
      </c>
      <c r="E62" s="7">
        <v>208.46</v>
      </c>
      <c r="F62" s="7" t="s">
        <v>68</v>
      </c>
      <c r="G62" s="7">
        <v>451.83</v>
      </c>
      <c r="H62" s="7">
        <v>30092.23</v>
      </c>
      <c r="I62" s="7">
        <v>594.61</v>
      </c>
      <c r="J62" s="7">
        <v>1333.25</v>
      </c>
      <c r="K62" s="7">
        <v>108.82</v>
      </c>
      <c r="L62" s="7">
        <v>38.159999999999997</v>
      </c>
      <c r="M62" s="7">
        <v>11.59</v>
      </c>
      <c r="N62" s="7">
        <v>4514.9799999999996</v>
      </c>
      <c r="O62" s="7">
        <v>59.93</v>
      </c>
      <c r="P62" s="7">
        <v>155.32</v>
      </c>
      <c r="Q62" s="7">
        <v>15.74</v>
      </c>
      <c r="R62" s="7">
        <v>62.44</v>
      </c>
      <c r="S62" s="7">
        <v>8.35</v>
      </c>
      <c r="T62" s="7">
        <v>86.33</v>
      </c>
      <c r="U62" s="7">
        <v>25.84</v>
      </c>
      <c r="V62" s="7">
        <v>34850.519999999997</v>
      </c>
      <c r="W62" s="7">
        <v>171.53</v>
      </c>
      <c r="X62" s="7" t="s">
        <v>68</v>
      </c>
      <c r="Y62" s="7">
        <v>92.92</v>
      </c>
      <c r="Z62" s="7">
        <v>47.75</v>
      </c>
      <c r="AA62" s="7">
        <v>13.34</v>
      </c>
      <c r="AB62" s="7">
        <v>13.33</v>
      </c>
      <c r="AC62" s="7">
        <v>7.71</v>
      </c>
      <c r="AD62" s="7">
        <v>135.97</v>
      </c>
      <c r="AE62" s="7">
        <v>6.83</v>
      </c>
      <c r="AF62" s="7">
        <v>52.79</v>
      </c>
      <c r="AG62" s="7">
        <v>3.53</v>
      </c>
      <c r="AH62" s="7" t="s">
        <v>68</v>
      </c>
      <c r="AI62" s="7">
        <v>2.25</v>
      </c>
      <c r="AJ62" s="7">
        <v>156.94</v>
      </c>
      <c r="AK62" s="7">
        <v>2.99</v>
      </c>
      <c r="AL62" s="7">
        <v>112.98</v>
      </c>
      <c r="AM62" s="7">
        <v>2.2599999999999998</v>
      </c>
      <c r="AN62" s="7">
        <v>202.91</v>
      </c>
      <c r="AO62" s="7">
        <v>3.01</v>
      </c>
      <c r="AP62" s="7">
        <v>27.27</v>
      </c>
      <c r="AQ62" s="7">
        <v>1.86</v>
      </c>
      <c r="AR62" s="7" t="s">
        <v>68</v>
      </c>
      <c r="AS62" s="7">
        <v>4.67</v>
      </c>
      <c r="AT62" s="7" t="s">
        <v>68</v>
      </c>
      <c r="AU62" s="7">
        <v>4.42</v>
      </c>
      <c r="AV62" s="7" t="s">
        <v>68</v>
      </c>
      <c r="AW62" s="7">
        <v>6.4</v>
      </c>
      <c r="AX62" s="7" t="s">
        <v>68</v>
      </c>
      <c r="AY62" s="7">
        <v>4.71</v>
      </c>
      <c r="AZ62" s="7" t="s">
        <v>68</v>
      </c>
      <c r="BA62" s="7">
        <v>7.19</v>
      </c>
      <c r="BB62" s="7" t="s">
        <v>68</v>
      </c>
      <c r="BC62" s="7">
        <v>14.56</v>
      </c>
      <c r="BD62" s="7" t="s">
        <v>68</v>
      </c>
      <c r="BE62" s="7">
        <v>4.79</v>
      </c>
      <c r="BF62" s="7">
        <v>127.32</v>
      </c>
      <c r="BG62" s="7">
        <v>15.02</v>
      </c>
      <c r="BH62" s="7" t="s">
        <v>68</v>
      </c>
      <c r="BI62" s="7">
        <v>23.7</v>
      </c>
      <c r="BJ62" s="7" t="s">
        <v>68</v>
      </c>
      <c r="BK62" s="7">
        <v>3.46</v>
      </c>
      <c r="BL62" s="7" t="s">
        <v>68</v>
      </c>
      <c r="BM62" s="7">
        <v>5.22</v>
      </c>
      <c r="BN62" s="7">
        <v>34</v>
      </c>
      <c r="BO62" s="7">
        <v>3.24</v>
      </c>
      <c r="BP62" s="7">
        <v>15.8</v>
      </c>
      <c r="BQ62" s="7">
        <v>2.17</v>
      </c>
      <c r="BR62" s="7" t="s">
        <v>68</v>
      </c>
      <c r="BS62" s="7">
        <v>4.95</v>
      </c>
    </row>
    <row r="63" spans="1:71">
      <c r="A63" s="7">
        <v>61</v>
      </c>
      <c r="B63" s="7">
        <f t="shared" si="0"/>
        <v>803.75</v>
      </c>
      <c r="C63" s="9" t="s">
        <v>132</v>
      </c>
      <c r="D63" s="7">
        <v>23247.85</v>
      </c>
      <c r="E63" s="7">
        <v>200.26</v>
      </c>
      <c r="F63" s="7" t="s">
        <v>68</v>
      </c>
      <c r="G63" s="7">
        <v>388.52</v>
      </c>
      <c r="H63" s="7">
        <v>17947.37</v>
      </c>
      <c r="I63" s="7">
        <v>430.07</v>
      </c>
      <c r="J63" s="7">
        <v>1250.51</v>
      </c>
      <c r="K63" s="7">
        <v>104.55</v>
      </c>
      <c r="L63" s="7">
        <v>27.9</v>
      </c>
      <c r="M63" s="7">
        <v>10.57</v>
      </c>
      <c r="N63" s="7">
        <v>4895.8</v>
      </c>
      <c r="O63" s="7">
        <v>58.07</v>
      </c>
      <c r="P63" s="7">
        <v>168.23</v>
      </c>
      <c r="Q63" s="7">
        <v>15.23</v>
      </c>
      <c r="R63" s="7">
        <v>70.09</v>
      </c>
      <c r="S63" s="7">
        <v>7.84</v>
      </c>
      <c r="T63" s="7">
        <v>92.21</v>
      </c>
      <c r="U63" s="7">
        <v>24.63</v>
      </c>
      <c r="V63" s="7">
        <v>23703.03</v>
      </c>
      <c r="W63" s="7">
        <v>138.65</v>
      </c>
      <c r="X63" s="7" t="s">
        <v>68</v>
      </c>
      <c r="Y63" s="7">
        <v>75.69</v>
      </c>
      <c r="Z63" s="7">
        <v>46.6</v>
      </c>
      <c r="AA63" s="7">
        <v>12.77</v>
      </c>
      <c r="AB63" s="7">
        <v>12.47</v>
      </c>
      <c r="AC63" s="7">
        <v>7.41</v>
      </c>
      <c r="AD63" s="7">
        <v>89.98</v>
      </c>
      <c r="AE63" s="7">
        <v>5.78</v>
      </c>
      <c r="AF63" s="7">
        <v>35.200000000000003</v>
      </c>
      <c r="AG63" s="7">
        <v>3.06</v>
      </c>
      <c r="AH63" s="7" t="s">
        <v>68</v>
      </c>
      <c r="AI63" s="7">
        <v>2.17</v>
      </c>
      <c r="AJ63" s="7">
        <v>158.18</v>
      </c>
      <c r="AK63" s="7">
        <v>2.93</v>
      </c>
      <c r="AL63" s="7">
        <v>121.54</v>
      </c>
      <c r="AM63" s="7">
        <v>2.29</v>
      </c>
      <c r="AN63" s="7">
        <v>213.19</v>
      </c>
      <c r="AO63" s="7">
        <v>3</v>
      </c>
      <c r="AP63" s="7">
        <v>19.059999999999999</v>
      </c>
      <c r="AQ63" s="7">
        <v>1.75</v>
      </c>
      <c r="AR63" s="7" t="s">
        <v>68</v>
      </c>
      <c r="AS63" s="7">
        <v>4.55</v>
      </c>
      <c r="AT63" s="7" t="s">
        <v>68</v>
      </c>
      <c r="AU63" s="7">
        <v>4.28</v>
      </c>
      <c r="AV63" s="7" t="s">
        <v>68</v>
      </c>
      <c r="AW63" s="7">
        <v>6.22</v>
      </c>
      <c r="AX63" s="7" t="s">
        <v>68</v>
      </c>
      <c r="AY63" s="7">
        <v>4.59</v>
      </c>
      <c r="AZ63" s="7" t="s">
        <v>68</v>
      </c>
      <c r="BA63" s="7">
        <v>7.06</v>
      </c>
      <c r="BB63" s="7" t="s">
        <v>68</v>
      </c>
      <c r="BC63" s="7">
        <v>14.18</v>
      </c>
      <c r="BD63" s="7" t="s">
        <v>68</v>
      </c>
      <c r="BE63" s="7">
        <v>4.66</v>
      </c>
      <c r="BF63" s="7">
        <v>136.82</v>
      </c>
      <c r="BG63" s="7">
        <v>14.61</v>
      </c>
      <c r="BH63" s="7" t="s">
        <v>68</v>
      </c>
      <c r="BI63" s="7">
        <v>22.73</v>
      </c>
      <c r="BJ63" s="7" t="s">
        <v>68</v>
      </c>
      <c r="BK63" s="7">
        <v>3.35</v>
      </c>
      <c r="BL63" s="7" t="s">
        <v>68</v>
      </c>
      <c r="BM63" s="7">
        <v>5.08</v>
      </c>
      <c r="BN63" s="7">
        <v>28.61</v>
      </c>
      <c r="BO63" s="7">
        <v>3</v>
      </c>
      <c r="BP63" s="7">
        <v>15.2</v>
      </c>
      <c r="BQ63" s="7">
        <v>2.0699999999999998</v>
      </c>
      <c r="BR63" s="7" t="s">
        <v>68</v>
      </c>
      <c r="BS63" s="7">
        <v>4.8899999999999997</v>
      </c>
    </row>
    <row r="64" spans="1:71">
      <c r="A64" s="7">
        <v>62</v>
      </c>
      <c r="B64" s="7">
        <f t="shared" si="0"/>
        <v>783.75</v>
      </c>
      <c r="C64" s="9" t="s">
        <v>133</v>
      </c>
      <c r="D64" s="7">
        <v>23115.59</v>
      </c>
      <c r="E64" s="7">
        <v>200.19</v>
      </c>
      <c r="F64" s="7" t="s">
        <v>68</v>
      </c>
      <c r="G64" s="7">
        <v>414.95</v>
      </c>
      <c r="H64" s="7">
        <v>16505.97</v>
      </c>
      <c r="I64" s="7">
        <v>414.4</v>
      </c>
      <c r="J64" s="7">
        <v>880.78</v>
      </c>
      <c r="K64" s="7">
        <v>106.8</v>
      </c>
      <c r="L64" s="7">
        <v>29.8</v>
      </c>
      <c r="M64" s="7">
        <v>10.51</v>
      </c>
      <c r="N64" s="7">
        <v>5099.3</v>
      </c>
      <c r="O64" s="7">
        <v>59.19</v>
      </c>
      <c r="P64" s="7">
        <v>150.76</v>
      </c>
      <c r="Q64" s="7">
        <v>15.31</v>
      </c>
      <c r="R64" s="7">
        <v>75.91</v>
      </c>
      <c r="S64" s="7">
        <v>7.91</v>
      </c>
      <c r="T64" s="7">
        <v>78.05</v>
      </c>
      <c r="U64" s="7">
        <v>24.05</v>
      </c>
      <c r="V64" s="7">
        <v>22971.64</v>
      </c>
      <c r="W64" s="7">
        <v>135.35</v>
      </c>
      <c r="X64" s="7" t="s">
        <v>68</v>
      </c>
      <c r="Y64" s="7">
        <v>73.55</v>
      </c>
      <c r="Z64" s="7">
        <v>39.5</v>
      </c>
      <c r="AA64" s="7">
        <v>12.5</v>
      </c>
      <c r="AB64" s="7">
        <v>16.100000000000001</v>
      </c>
      <c r="AC64" s="7">
        <v>7.39</v>
      </c>
      <c r="AD64" s="7">
        <v>102.65</v>
      </c>
      <c r="AE64" s="7">
        <v>6.01</v>
      </c>
      <c r="AF64" s="7">
        <v>27.75</v>
      </c>
      <c r="AG64" s="7">
        <v>2.82</v>
      </c>
      <c r="AH64" s="7" t="s">
        <v>68</v>
      </c>
      <c r="AI64" s="7">
        <v>2.15</v>
      </c>
      <c r="AJ64" s="7">
        <v>155.59</v>
      </c>
      <c r="AK64" s="7">
        <v>2.89</v>
      </c>
      <c r="AL64" s="7">
        <v>117.89</v>
      </c>
      <c r="AM64" s="7">
        <v>2.2400000000000002</v>
      </c>
      <c r="AN64" s="7">
        <v>225.13</v>
      </c>
      <c r="AO64" s="7">
        <v>3.04</v>
      </c>
      <c r="AP64" s="7">
        <v>17.18</v>
      </c>
      <c r="AQ64" s="7">
        <v>1.73</v>
      </c>
      <c r="AR64" s="7" t="s">
        <v>68</v>
      </c>
      <c r="AS64" s="7">
        <v>4.51</v>
      </c>
      <c r="AT64" s="7" t="s">
        <v>68</v>
      </c>
      <c r="AU64" s="7">
        <v>4.22</v>
      </c>
      <c r="AV64" s="7" t="s">
        <v>68</v>
      </c>
      <c r="AW64" s="7">
        <v>6.06</v>
      </c>
      <c r="AX64" s="7" t="s">
        <v>68</v>
      </c>
      <c r="AY64" s="7">
        <v>4.51</v>
      </c>
      <c r="AZ64" s="7" t="s">
        <v>68</v>
      </c>
      <c r="BA64" s="7">
        <v>6.9</v>
      </c>
      <c r="BB64" s="7" t="s">
        <v>68</v>
      </c>
      <c r="BC64" s="7">
        <v>13.89</v>
      </c>
      <c r="BD64" s="7" t="s">
        <v>68</v>
      </c>
      <c r="BE64" s="7">
        <v>4.58</v>
      </c>
      <c r="BF64" s="7">
        <v>131.78</v>
      </c>
      <c r="BG64" s="7">
        <v>14.36</v>
      </c>
      <c r="BH64" s="7">
        <v>25.79</v>
      </c>
      <c r="BI64" s="7">
        <v>15.31</v>
      </c>
      <c r="BJ64" s="7">
        <v>3.66</v>
      </c>
      <c r="BK64" s="7">
        <v>2.2200000000000002</v>
      </c>
      <c r="BL64" s="7" t="s">
        <v>68</v>
      </c>
      <c r="BM64" s="7">
        <v>5.0599999999999996</v>
      </c>
      <c r="BN64" s="7">
        <v>24.56</v>
      </c>
      <c r="BO64" s="7">
        <v>2.84</v>
      </c>
      <c r="BP64" s="7">
        <v>15.07</v>
      </c>
      <c r="BQ64" s="7">
        <v>2.0299999999999998</v>
      </c>
      <c r="BR64" s="7" t="s">
        <v>68</v>
      </c>
      <c r="BS64" s="7">
        <v>4.83</v>
      </c>
    </row>
    <row r="65" spans="1:71">
      <c r="A65" s="7">
        <v>63</v>
      </c>
      <c r="B65" s="7">
        <f t="shared" si="0"/>
        <v>763.75</v>
      </c>
      <c r="C65" s="9" t="s">
        <v>134</v>
      </c>
      <c r="D65" s="7">
        <v>23227.26</v>
      </c>
      <c r="E65" s="7">
        <v>202.02</v>
      </c>
      <c r="F65" s="7" t="s">
        <v>68</v>
      </c>
      <c r="G65" s="7">
        <v>366.63</v>
      </c>
      <c r="H65" s="7">
        <v>18856.47</v>
      </c>
      <c r="I65" s="7">
        <v>444.51</v>
      </c>
      <c r="J65" s="7">
        <v>1083.98</v>
      </c>
      <c r="K65" s="7">
        <v>106.13</v>
      </c>
      <c r="L65" s="7">
        <v>22.26</v>
      </c>
      <c r="M65" s="7">
        <v>10.49</v>
      </c>
      <c r="N65" s="7">
        <v>4965.3900000000003</v>
      </c>
      <c r="O65" s="7">
        <v>59.15</v>
      </c>
      <c r="P65" s="7">
        <v>157.97</v>
      </c>
      <c r="Q65" s="7">
        <v>15.43</v>
      </c>
      <c r="R65" s="7">
        <v>73.540000000000006</v>
      </c>
      <c r="S65" s="7">
        <v>7.97</v>
      </c>
      <c r="T65" s="7">
        <v>74.75</v>
      </c>
      <c r="U65" s="7">
        <v>24.2</v>
      </c>
      <c r="V65" s="7">
        <v>24334.35</v>
      </c>
      <c r="W65" s="7">
        <v>139.94</v>
      </c>
      <c r="X65" s="7" t="s">
        <v>68</v>
      </c>
      <c r="Y65" s="7">
        <v>76.56</v>
      </c>
      <c r="Z65" s="7">
        <v>42.76</v>
      </c>
      <c r="AA65" s="7">
        <v>12.68</v>
      </c>
      <c r="AB65" s="7">
        <v>14.61</v>
      </c>
      <c r="AC65" s="7">
        <v>7.4</v>
      </c>
      <c r="AD65" s="7">
        <v>103.79</v>
      </c>
      <c r="AE65" s="7">
        <v>6.04</v>
      </c>
      <c r="AF65" s="7">
        <v>29.11</v>
      </c>
      <c r="AG65" s="7">
        <v>2.89</v>
      </c>
      <c r="AH65" s="7" t="s">
        <v>68</v>
      </c>
      <c r="AI65" s="7">
        <v>2.17</v>
      </c>
      <c r="AJ65" s="7">
        <v>157.28</v>
      </c>
      <c r="AK65" s="7">
        <v>2.92</v>
      </c>
      <c r="AL65" s="7">
        <v>119.24</v>
      </c>
      <c r="AM65" s="7">
        <v>2.2599999999999998</v>
      </c>
      <c r="AN65" s="7">
        <v>221.14</v>
      </c>
      <c r="AO65" s="7">
        <v>3.04</v>
      </c>
      <c r="AP65" s="7">
        <v>17.59</v>
      </c>
      <c r="AQ65" s="7">
        <v>1.74</v>
      </c>
      <c r="AR65" s="7" t="s">
        <v>68</v>
      </c>
      <c r="AS65" s="7">
        <v>4.53</v>
      </c>
      <c r="AT65" s="7" t="s">
        <v>68</v>
      </c>
      <c r="AU65" s="7">
        <v>4.2699999999999996</v>
      </c>
      <c r="AV65" s="7" t="s">
        <v>68</v>
      </c>
      <c r="AW65" s="7">
        <v>6.17</v>
      </c>
      <c r="AX65" s="7" t="s">
        <v>68</v>
      </c>
      <c r="AY65" s="7">
        <v>4.58</v>
      </c>
      <c r="AZ65" s="7" t="s">
        <v>68</v>
      </c>
      <c r="BA65" s="7">
        <v>6.99</v>
      </c>
      <c r="BB65" s="7" t="s">
        <v>68</v>
      </c>
      <c r="BC65" s="7">
        <v>14.13</v>
      </c>
      <c r="BD65" s="7" t="s">
        <v>68</v>
      </c>
      <c r="BE65" s="7">
        <v>4.67</v>
      </c>
      <c r="BF65" s="7">
        <v>160.80000000000001</v>
      </c>
      <c r="BG65" s="7">
        <v>14.68</v>
      </c>
      <c r="BH65" s="7" t="s">
        <v>68</v>
      </c>
      <c r="BI65" s="7">
        <v>22.67</v>
      </c>
      <c r="BJ65" s="7" t="s">
        <v>68</v>
      </c>
      <c r="BK65" s="7">
        <v>3.31</v>
      </c>
      <c r="BL65" s="7" t="s">
        <v>68</v>
      </c>
      <c r="BM65" s="7">
        <v>5.1100000000000003</v>
      </c>
      <c r="BN65" s="7">
        <v>26.05</v>
      </c>
      <c r="BO65" s="7">
        <v>2.91</v>
      </c>
      <c r="BP65" s="7">
        <v>15.1</v>
      </c>
      <c r="BQ65" s="7">
        <v>2.0499999999999998</v>
      </c>
      <c r="BR65" s="7" t="s">
        <v>68</v>
      </c>
      <c r="BS65" s="7">
        <v>4.8899999999999997</v>
      </c>
    </row>
    <row r="66" spans="1:71">
      <c r="A66" s="7">
        <v>64</v>
      </c>
      <c r="B66" s="7">
        <f t="shared" si="0"/>
        <v>743.75</v>
      </c>
      <c r="C66" s="9" t="s">
        <v>135</v>
      </c>
      <c r="D66" s="7">
        <v>23281.49</v>
      </c>
      <c r="E66" s="7">
        <v>202.95</v>
      </c>
      <c r="F66" s="7" t="s">
        <v>68</v>
      </c>
      <c r="G66" s="7">
        <v>381.48</v>
      </c>
      <c r="H66" s="7">
        <v>17328.39</v>
      </c>
      <c r="I66" s="7">
        <v>428.4</v>
      </c>
      <c r="J66" s="7">
        <v>1013.6</v>
      </c>
      <c r="K66" s="7">
        <v>106.51</v>
      </c>
      <c r="L66" s="7">
        <v>25.39</v>
      </c>
      <c r="M66" s="7">
        <v>10.51</v>
      </c>
      <c r="N66" s="7">
        <v>4864.5</v>
      </c>
      <c r="O66" s="7">
        <v>58.94</v>
      </c>
      <c r="P66" s="7">
        <v>157.96</v>
      </c>
      <c r="Q66" s="7">
        <v>15.41</v>
      </c>
      <c r="R66" s="7">
        <v>68.040000000000006</v>
      </c>
      <c r="S66" s="7">
        <v>7.91</v>
      </c>
      <c r="T66" s="7">
        <v>94.31</v>
      </c>
      <c r="U66" s="7">
        <v>24.75</v>
      </c>
      <c r="V66" s="7">
        <v>23781.38</v>
      </c>
      <c r="W66" s="7">
        <v>138.54</v>
      </c>
      <c r="X66" s="7" t="s">
        <v>68</v>
      </c>
      <c r="Y66" s="7">
        <v>75.25</v>
      </c>
      <c r="Z66" s="7">
        <v>43.79</v>
      </c>
      <c r="AA66" s="7">
        <v>12.67</v>
      </c>
      <c r="AB66" s="7">
        <v>15.77</v>
      </c>
      <c r="AC66" s="7">
        <v>7.45</v>
      </c>
      <c r="AD66" s="7">
        <v>97.08</v>
      </c>
      <c r="AE66" s="7">
        <v>5.92</v>
      </c>
      <c r="AF66" s="7">
        <v>27.31</v>
      </c>
      <c r="AG66" s="7">
        <v>2.88</v>
      </c>
      <c r="AH66" s="7" t="s">
        <v>68</v>
      </c>
      <c r="AI66" s="7">
        <v>2.19</v>
      </c>
      <c r="AJ66" s="7">
        <v>156.34</v>
      </c>
      <c r="AK66" s="7">
        <v>2.91</v>
      </c>
      <c r="AL66" s="7">
        <v>118.71</v>
      </c>
      <c r="AM66" s="7">
        <v>2.2599999999999998</v>
      </c>
      <c r="AN66" s="7">
        <v>226.39</v>
      </c>
      <c r="AO66" s="7">
        <v>3.07</v>
      </c>
      <c r="AP66" s="7">
        <v>18.12</v>
      </c>
      <c r="AQ66" s="7">
        <v>1.75</v>
      </c>
      <c r="AR66" s="7" t="s">
        <v>68</v>
      </c>
      <c r="AS66" s="7">
        <v>4.59</v>
      </c>
      <c r="AT66" s="7" t="s">
        <v>68</v>
      </c>
      <c r="AU66" s="7">
        <v>4.2300000000000004</v>
      </c>
      <c r="AV66" s="7" t="s">
        <v>68</v>
      </c>
      <c r="AW66" s="7">
        <v>6.05</v>
      </c>
      <c r="AX66" s="7" t="s">
        <v>68</v>
      </c>
      <c r="AY66" s="7">
        <v>4.54</v>
      </c>
      <c r="AZ66" s="7" t="s">
        <v>68</v>
      </c>
      <c r="BA66" s="7">
        <v>6.92</v>
      </c>
      <c r="BB66" s="7" t="s">
        <v>68</v>
      </c>
      <c r="BC66" s="7">
        <v>14.11</v>
      </c>
      <c r="BD66" s="7" t="s">
        <v>68</v>
      </c>
      <c r="BE66" s="7">
        <v>4.63</v>
      </c>
      <c r="BF66" s="7">
        <v>166.55</v>
      </c>
      <c r="BG66" s="7">
        <v>14.65</v>
      </c>
      <c r="BH66" s="7" t="s">
        <v>68</v>
      </c>
      <c r="BI66" s="7">
        <v>22.81</v>
      </c>
      <c r="BJ66" s="7" t="s">
        <v>68</v>
      </c>
      <c r="BK66" s="7">
        <v>3.31</v>
      </c>
      <c r="BL66" s="7" t="s">
        <v>68</v>
      </c>
      <c r="BM66" s="7">
        <v>5.1100000000000003</v>
      </c>
      <c r="BN66" s="7">
        <v>27.11</v>
      </c>
      <c r="BO66" s="7">
        <v>2.95</v>
      </c>
      <c r="BP66" s="7">
        <v>16.170000000000002</v>
      </c>
      <c r="BQ66" s="7">
        <v>2.08</v>
      </c>
      <c r="BR66" s="7" t="s">
        <v>68</v>
      </c>
      <c r="BS66" s="7">
        <v>4.8</v>
      </c>
    </row>
    <row r="67" spans="1:71">
      <c r="A67" s="7">
        <v>65</v>
      </c>
      <c r="B67" s="7">
        <f t="shared" ref="B67:B101" si="1">2023.75-(A67/0.05)</f>
        <v>723.75</v>
      </c>
      <c r="C67" s="9" t="s">
        <v>136</v>
      </c>
      <c r="D67" s="7">
        <v>22862.880000000001</v>
      </c>
      <c r="E67" s="7">
        <v>202.49</v>
      </c>
      <c r="F67" s="7" t="s">
        <v>68</v>
      </c>
      <c r="G67" s="7">
        <v>406.8</v>
      </c>
      <c r="H67" s="7">
        <v>18853.8</v>
      </c>
      <c r="I67" s="7">
        <v>448.97</v>
      </c>
      <c r="J67" s="7">
        <v>1159.8399999999999</v>
      </c>
      <c r="K67" s="7">
        <v>107.47</v>
      </c>
      <c r="L67" s="7">
        <v>18.079999999999998</v>
      </c>
      <c r="M67" s="7">
        <v>10.62</v>
      </c>
      <c r="N67" s="7">
        <v>4945.3500000000004</v>
      </c>
      <c r="O67" s="7">
        <v>59.44</v>
      </c>
      <c r="P67" s="7">
        <v>158.12</v>
      </c>
      <c r="Q67" s="7">
        <v>15.5</v>
      </c>
      <c r="R67" s="7">
        <v>62.98</v>
      </c>
      <c r="S67" s="7">
        <v>7.95</v>
      </c>
      <c r="T67" s="7">
        <v>91.82</v>
      </c>
      <c r="U67" s="7">
        <v>24.98</v>
      </c>
      <c r="V67" s="7">
        <v>24951.13</v>
      </c>
      <c r="W67" s="7">
        <v>142.37</v>
      </c>
      <c r="X67" s="7" t="s">
        <v>68</v>
      </c>
      <c r="Y67" s="7">
        <v>77.75</v>
      </c>
      <c r="Z67" s="7">
        <v>50.49</v>
      </c>
      <c r="AA67" s="7">
        <v>12.85</v>
      </c>
      <c r="AB67" s="7">
        <v>15.06</v>
      </c>
      <c r="AC67" s="7">
        <v>7.47</v>
      </c>
      <c r="AD67" s="7">
        <v>113.48</v>
      </c>
      <c r="AE67" s="7">
        <v>6.26</v>
      </c>
      <c r="AF67" s="7">
        <v>27.96</v>
      </c>
      <c r="AG67" s="7">
        <v>2.92</v>
      </c>
      <c r="AH67" s="7" t="s">
        <v>68</v>
      </c>
      <c r="AI67" s="7">
        <v>2.21</v>
      </c>
      <c r="AJ67" s="7">
        <v>156.04</v>
      </c>
      <c r="AK67" s="7">
        <v>2.93</v>
      </c>
      <c r="AL67" s="7">
        <v>117.92</v>
      </c>
      <c r="AM67" s="7">
        <v>2.2599999999999998</v>
      </c>
      <c r="AN67" s="7">
        <v>217.98</v>
      </c>
      <c r="AO67" s="7">
        <v>3.03</v>
      </c>
      <c r="AP67" s="7">
        <v>16.27</v>
      </c>
      <c r="AQ67" s="7">
        <v>1.74</v>
      </c>
      <c r="AR67" s="7" t="s">
        <v>68</v>
      </c>
      <c r="AS67" s="7">
        <v>4.62</v>
      </c>
      <c r="AT67" s="7" t="s">
        <v>68</v>
      </c>
      <c r="AU67" s="7">
        <v>4.38</v>
      </c>
      <c r="AV67" s="7" t="s">
        <v>68</v>
      </c>
      <c r="AW67" s="7">
        <v>6.21</v>
      </c>
      <c r="AX67" s="7" t="s">
        <v>68</v>
      </c>
      <c r="AY67" s="7">
        <v>4.71</v>
      </c>
      <c r="AZ67" s="7" t="s">
        <v>68</v>
      </c>
      <c r="BA67" s="7">
        <v>7.2</v>
      </c>
      <c r="BB67" s="7" t="s">
        <v>68</v>
      </c>
      <c r="BC67" s="7">
        <v>14.52</v>
      </c>
      <c r="BD67" s="7">
        <v>14.05</v>
      </c>
      <c r="BE67" s="7">
        <v>3.19</v>
      </c>
      <c r="BF67" s="7">
        <v>227.74</v>
      </c>
      <c r="BG67" s="7">
        <v>15.2</v>
      </c>
      <c r="BH67" s="7" t="s">
        <v>68</v>
      </c>
      <c r="BI67" s="7">
        <v>22.97</v>
      </c>
      <c r="BJ67" s="7" t="s">
        <v>68</v>
      </c>
      <c r="BK67" s="7">
        <v>3.31</v>
      </c>
      <c r="BL67" s="7" t="s">
        <v>68</v>
      </c>
      <c r="BM67" s="7">
        <v>5.0999999999999996</v>
      </c>
      <c r="BN67" s="7">
        <v>27.97</v>
      </c>
      <c r="BO67" s="7">
        <v>2.99</v>
      </c>
      <c r="BP67" s="7">
        <v>16.57</v>
      </c>
      <c r="BQ67" s="7">
        <v>2.11</v>
      </c>
      <c r="BR67" s="7">
        <v>7.25</v>
      </c>
      <c r="BS67" s="7">
        <v>3.32</v>
      </c>
    </row>
    <row r="68" spans="1:71">
      <c r="A68" s="7">
        <v>66</v>
      </c>
      <c r="B68" s="7">
        <f t="shared" si="1"/>
        <v>703.75</v>
      </c>
      <c r="C68" s="9" t="s">
        <v>137</v>
      </c>
      <c r="D68" s="7">
        <v>23178.21</v>
      </c>
      <c r="E68" s="7">
        <v>202.01</v>
      </c>
      <c r="F68" s="7" t="s">
        <v>68</v>
      </c>
      <c r="G68" s="7">
        <v>400.11</v>
      </c>
      <c r="H68" s="7">
        <v>18274.36</v>
      </c>
      <c r="I68" s="7">
        <v>438.36</v>
      </c>
      <c r="J68" s="7">
        <v>1126.03</v>
      </c>
      <c r="K68" s="7">
        <v>106.55</v>
      </c>
      <c r="L68" s="7">
        <v>17.3</v>
      </c>
      <c r="M68" s="7">
        <v>10.5</v>
      </c>
      <c r="N68" s="7">
        <v>4885.76</v>
      </c>
      <c r="O68" s="7">
        <v>58.76</v>
      </c>
      <c r="P68" s="7">
        <v>158.69</v>
      </c>
      <c r="Q68" s="7">
        <v>15.36</v>
      </c>
      <c r="R68" s="7">
        <v>73.52</v>
      </c>
      <c r="S68" s="7">
        <v>7.96</v>
      </c>
      <c r="T68" s="7">
        <v>79.36</v>
      </c>
      <c r="U68" s="7">
        <v>24.26</v>
      </c>
      <c r="V68" s="7">
        <v>24697.79</v>
      </c>
      <c r="W68" s="7">
        <v>140.78</v>
      </c>
      <c r="X68" s="7" t="s">
        <v>68</v>
      </c>
      <c r="Y68" s="7">
        <v>76.959999999999994</v>
      </c>
      <c r="Z68" s="7">
        <v>28.86</v>
      </c>
      <c r="AA68" s="7">
        <v>12.49</v>
      </c>
      <c r="AB68" s="7" t="s">
        <v>68</v>
      </c>
      <c r="AC68" s="7">
        <v>10.9</v>
      </c>
      <c r="AD68" s="7">
        <v>126.75</v>
      </c>
      <c r="AE68" s="7">
        <v>6.46</v>
      </c>
      <c r="AF68" s="7">
        <v>22.96</v>
      </c>
      <c r="AG68" s="7">
        <v>2.82</v>
      </c>
      <c r="AH68" s="7" t="s">
        <v>68</v>
      </c>
      <c r="AI68" s="7">
        <v>2.17</v>
      </c>
      <c r="AJ68" s="7">
        <v>159.79</v>
      </c>
      <c r="AK68" s="7">
        <v>2.94</v>
      </c>
      <c r="AL68" s="7">
        <v>118.96</v>
      </c>
      <c r="AM68" s="7">
        <v>2.25</v>
      </c>
      <c r="AN68" s="7">
        <v>213.82</v>
      </c>
      <c r="AO68" s="7">
        <v>2.99</v>
      </c>
      <c r="AP68" s="7">
        <v>14.42</v>
      </c>
      <c r="AQ68" s="7">
        <v>1.71</v>
      </c>
      <c r="AR68" s="7" t="s">
        <v>68</v>
      </c>
      <c r="AS68" s="7">
        <v>4.5199999999999996</v>
      </c>
      <c r="AT68" s="7" t="s">
        <v>68</v>
      </c>
      <c r="AU68" s="7">
        <v>4.24</v>
      </c>
      <c r="AV68" s="7" t="s">
        <v>68</v>
      </c>
      <c r="AW68" s="7">
        <v>6.09</v>
      </c>
      <c r="AX68" s="7" t="s">
        <v>68</v>
      </c>
      <c r="AY68" s="7">
        <v>4.54</v>
      </c>
      <c r="AZ68" s="7" t="s">
        <v>68</v>
      </c>
      <c r="BA68" s="7">
        <v>6.89</v>
      </c>
      <c r="BB68" s="7" t="s">
        <v>68</v>
      </c>
      <c r="BC68" s="7">
        <v>14.09</v>
      </c>
      <c r="BD68" s="7" t="s">
        <v>68</v>
      </c>
      <c r="BE68" s="7">
        <v>4.6100000000000003</v>
      </c>
      <c r="BF68" s="7">
        <v>139.06</v>
      </c>
      <c r="BG68" s="7">
        <v>14.57</v>
      </c>
      <c r="BH68" s="7" t="s">
        <v>68</v>
      </c>
      <c r="BI68" s="7">
        <v>22.25</v>
      </c>
      <c r="BJ68" s="7" t="s">
        <v>68</v>
      </c>
      <c r="BK68" s="7">
        <v>3.26</v>
      </c>
      <c r="BL68" s="7">
        <v>7.54</v>
      </c>
      <c r="BM68" s="7">
        <v>3.42</v>
      </c>
      <c r="BN68" s="7">
        <v>28.62</v>
      </c>
      <c r="BO68" s="7">
        <v>2.99</v>
      </c>
      <c r="BP68" s="7">
        <v>13.86</v>
      </c>
      <c r="BQ68" s="7">
        <v>2.0299999999999998</v>
      </c>
      <c r="BR68" s="7" t="s">
        <v>68</v>
      </c>
      <c r="BS68" s="7">
        <v>4.91</v>
      </c>
    </row>
    <row r="69" spans="1:71">
      <c r="A69" s="7">
        <v>67</v>
      </c>
      <c r="B69" s="7">
        <f t="shared" si="1"/>
        <v>683.75</v>
      </c>
      <c r="C69" s="9" t="s">
        <v>138</v>
      </c>
      <c r="D69" s="7">
        <v>23595.88</v>
      </c>
      <c r="E69" s="7">
        <v>201.11</v>
      </c>
      <c r="F69" s="7" t="s">
        <v>68</v>
      </c>
      <c r="G69" s="7">
        <v>398.32</v>
      </c>
      <c r="H69" s="7">
        <v>18107.47</v>
      </c>
      <c r="I69" s="7">
        <v>430.65</v>
      </c>
      <c r="J69" s="7">
        <v>1071.51</v>
      </c>
      <c r="K69" s="7">
        <v>103.96</v>
      </c>
      <c r="L69" s="7">
        <v>19.41</v>
      </c>
      <c r="M69" s="7">
        <v>10.15</v>
      </c>
      <c r="N69" s="7">
        <v>4966.97</v>
      </c>
      <c r="O69" s="7">
        <v>58.03</v>
      </c>
      <c r="P69" s="7">
        <v>158.72</v>
      </c>
      <c r="Q69" s="7">
        <v>15.1</v>
      </c>
      <c r="R69" s="7">
        <v>78.599999999999994</v>
      </c>
      <c r="S69" s="7">
        <v>7.88</v>
      </c>
      <c r="T69" s="7">
        <v>103.46</v>
      </c>
      <c r="U69" s="7">
        <v>24.97</v>
      </c>
      <c r="V69" s="7">
        <v>23839.81</v>
      </c>
      <c r="W69" s="7">
        <v>138.75</v>
      </c>
      <c r="X69" s="7" t="s">
        <v>68</v>
      </c>
      <c r="Y69" s="7">
        <v>75.83</v>
      </c>
      <c r="Z69" s="7">
        <v>45.67</v>
      </c>
      <c r="AA69" s="7">
        <v>12.73</v>
      </c>
      <c r="AB69" s="7">
        <v>12.37</v>
      </c>
      <c r="AC69" s="7">
        <v>7.38</v>
      </c>
      <c r="AD69" s="7">
        <v>130.63</v>
      </c>
      <c r="AE69" s="7">
        <v>6.55</v>
      </c>
      <c r="AF69" s="7">
        <v>24.88</v>
      </c>
      <c r="AG69" s="7">
        <v>2.92</v>
      </c>
      <c r="AH69" s="7" t="s">
        <v>68</v>
      </c>
      <c r="AI69" s="7">
        <v>2.1800000000000002</v>
      </c>
      <c r="AJ69" s="7">
        <v>159.91</v>
      </c>
      <c r="AK69" s="7">
        <v>2.95</v>
      </c>
      <c r="AL69" s="7">
        <v>123.45</v>
      </c>
      <c r="AM69" s="7">
        <v>2.2999999999999998</v>
      </c>
      <c r="AN69" s="7">
        <v>216.4</v>
      </c>
      <c r="AO69" s="7">
        <v>3.02</v>
      </c>
      <c r="AP69" s="7">
        <v>14.95</v>
      </c>
      <c r="AQ69" s="7">
        <v>1.72</v>
      </c>
      <c r="AR69" s="7" t="s">
        <v>68</v>
      </c>
      <c r="AS69" s="7">
        <v>4.5599999999999996</v>
      </c>
      <c r="AT69" s="7" t="s">
        <v>68</v>
      </c>
      <c r="AU69" s="7">
        <v>4.2699999999999996</v>
      </c>
      <c r="AV69" s="7" t="s">
        <v>68</v>
      </c>
      <c r="AW69" s="7">
        <v>6.11</v>
      </c>
      <c r="AX69" s="7" t="s">
        <v>68</v>
      </c>
      <c r="AY69" s="7">
        <v>4.5999999999999996</v>
      </c>
      <c r="AZ69" s="7" t="s">
        <v>68</v>
      </c>
      <c r="BA69" s="7">
        <v>7.02</v>
      </c>
      <c r="BB69" s="7" t="s">
        <v>68</v>
      </c>
      <c r="BC69" s="7">
        <v>14.2</v>
      </c>
      <c r="BD69" s="7">
        <v>7.64</v>
      </c>
      <c r="BE69" s="7">
        <v>3.14</v>
      </c>
      <c r="BF69" s="7">
        <v>185.66</v>
      </c>
      <c r="BG69" s="7">
        <v>14.86</v>
      </c>
      <c r="BH69" s="7" t="s">
        <v>68</v>
      </c>
      <c r="BI69" s="7">
        <v>22.66</v>
      </c>
      <c r="BJ69" s="7">
        <v>3.52</v>
      </c>
      <c r="BK69" s="7">
        <v>2.2400000000000002</v>
      </c>
      <c r="BL69" s="7" t="s">
        <v>68</v>
      </c>
      <c r="BM69" s="7">
        <v>5.0999999999999996</v>
      </c>
      <c r="BN69" s="7">
        <v>31.45</v>
      </c>
      <c r="BO69" s="7">
        <v>3.08</v>
      </c>
      <c r="BP69" s="7">
        <v>14.51</v>
      </c>
      <c r="BQ69" s="7">
        <v>2.0499999999999998</v>
      </c>
      <c r="BR69" s="7" t="s">
        <v>68</v>
      </c>
      <c r="BS69" s="7">
        <v>4.9400000000000004</v>
      </c>
    </row>
    <row r="70" spans="1:71">
      <c r="A70" s="7">
        <v>68</v>
      </c>
      <c r="B70" s="7">
        <f t="shared" si="1"/>
        <v>663.75</v>
      </c>
      <c r="C70" s="9" t="s">
        <v>139</v>
      </c>
      <c r="D70" s="7">
        <v>22305.200000000001</v>
      </c>
      <c r="E70" s="7">
        <v>197.65</v>
      </c>
      <c r="F70" s="7" t="s">
        <v>68</v>
      </c>
      <c r="G70" s="7">
        <v>389.13</v>
      </c>
      <c r="H70" s="7">
        <v>19533.38</v>
      </c>
      <c r="I70" s="7">
        <v>450.8</v>
      </c>
      <c r="J70" s="7">
        <v>1516.24</v>
      </c>
      <c r="K70" s="7">
        <v>102.75</v>
      </c>
      <c r="L70" s="7">
        <v>18.170000000000002</v>
      </c>
      <c r="M70" s="7">
        <v>10.44</v>
      </c>
      <c r="N70" s="7">
        <v>4598.3599999999997</v>
      </c>
      <c r="O70" s="7">
        <v>57.14</v>
      </c>
      <c r="P70" s="7">
        <v>153.9</v>
      </c>
      <c r="Q70" s="7">
        <v>15.01</v>
      </c>
      <c r="R70" s="7">
        <v>59.3</v>
      </c>
      <c r="S70" s="7">
        <v>7.76</v>
      </c>
      <c r="T70" s="7">
        <v>86.3</v>
      </c>
      <c r="U70" s="7">
        <v>24.65</v>
      </c>
      <c r="V70" s="7">
        <v>23813.38</v>
      </c>
      <c r="W70" s="7">
        <v>139</v>
      </c>
      <c r="X70" s="7" t="s">
        <v>68</v>
      </c>
      <c r="Y70" s="7">
        <v>75.75</v>
      </c>
      <c r="Z70" s="7">
        <v>38.17</v>
      </c>
      <c r="AA70" s="7">
        <v>12.62</v>
      </c>
      <c r="AB70" s="7" t="s">
        <v>68</v>
      </c>
      <c r="AC70" s="7">
        <v>10.92</v>
      </c>
      <c r="AD70" s="7">
        <v>107.61</v>
      </c>
      <c r="AE70" s="7">
        <v>6.14</v>
      </c>
      <c r="AF70" s="7">
        <v>29.98</v>
      </c>
      <c r="AG70" s="7">
        <v>2.94</v>
      </c>
      <c r="AH70" s="7" t="s">
        <v>68</v>
      </c>
      <c r="AI70" s="7">
        <v>2.2400000000000002</v>
      </c>
      <c r="AJ70" s="7">
        <v>157.66999999999999</v>
      </c>
      <c r="AK70" s="7">
        <v>2.93</v>
      </c>
      <c r="AL70" s="7">
        <v>123.17</v>
      </c>
      <c r="AM70" s="7">
        <v>2.2999999999999998</v>
      </c>
      <c r="AN70" s="7">
        <v>209.31</v>
      </c>
      <c r="AO70" s="7">
        <v>2.98</v>
      </c>
      <c r="AP70" s="7">
        <v>16.940000000000001</v>
      </c>
      <c r="AQ70" s="7">
        <v>1.73</v>
      </c>
      <c r="AR70" s="7" t="s">
        <v>68</v>
      </c>
      <c r="AS70" s="7">
        <v>4.58</v>
      </c>
      <c r="AT70" s="7" t="s">
        <v>68</v>
      </c>
      <c r="AU70" s="7">
        <v>4.2300000000000004</v>
      </c>
      <c r="AV70" s="7" t="s">
        <v>68</v>
      </c>
      <c r="AW70" s="7">
        <v>6.07</v>
      </c>
      <c r="AX70" s="7" t="s">
        <v>68</v>
      </c>
      <c r="AY70" s="7">
        <v>4.59</v>
      </c>
      <c r="AZ70" s="7" t="s">
        <v>68</v>
      </c>
      <c r="BA70" s="7">
        <v>6.96</v>
      </c>
      <c r="BB70" s="7" t="s">
        <v>68</v>
      </c>
      <c r="BC70" s="7">
        <v>14.15</v>
      </c>
      <c r="BD70" s="7">
        <v>7.08</v>
      </c>
      <c r="BE70" s="7">
        <v>3.12</v>
      </c>
      <c r="BF70" s="7">
        <v>186.18</v>
      </c>
      <c r="BG70" s="7">
        <v>14.79</v>
      </c>
      <c r="BH70" s="7" t="s">
        <v>68</v>
      </c>
      <c r="BI70" s="7">
        <v>22.7</v>
      </c>
      <c r="BJ70" s="7">
        <v>4.84</v>
      </c>
      <c r="BK70" s="7">
        <v>2.2999999999999998</v>
      </c>
      <c r="BL70" s="7" t="s">
        <v>68</v>
      </c>
      <c r="BM70" s="7">
        <v>5.0599999999999996</v>
      </c>
      <c r="BN70" s="7">
        <v>27.07</v>
      </c>
      <c r="BO70" s="7">
        <v>2.95</v>
      </c>
      <c r="BP70" s="7">
        <v>14.38</v>
      </c>
      <c r="BQ70" s="7">
        <v>2.04</v>
      </c>
      <c r="BR70" s="7" t="s">
        <v>68</v>
      </c>
      <c r="BS70" s="7">
        <v>4.91</v>
      </c>
    </row>
    <row r="71" spans="1:71">
      <c r="A71" s="7">
        <v>69</v>
      </c>
      <c r="B71" s="7">
        <f t="shared" si="1"/>
        <v>643.75</v>
      </c>
      <c r="C71" s="9" t="s">
        <v>140</v>
      </c>
      <c r="D71" s="7">
        <v>23564.62</v>
      </c>
      <c r="E71" s="7">
        <v>208.24</v>
      </c>
      <c r="F71" s="7" t="s">
        <v>68</v>
      </c>
      <c r="G71" s="7">
        <v>414.09</v>
      </c>
      <c r="H71" s="7">
        <v>19610.46</v>
      </c>
      <c r="I71" s="7">
        <v>463.84</v>
      </c>
      <c r="J71" s="7">
        <v>757.62</v>
      </c>
      <c r="K71" s="7">
        <v>109</v>
      </c>
      <c r="L71" s="7">
        <v>28.82</v>
      </c>
      <c r="M71" s="7">
        <v>10.67</v>
      </c>
      <c r="N71" s="7">
        <v>4940.92</v>
      </c>
      <c r="O71" s="7">
        <v>60.53</v>
      </c>
      <c r="P71" s="7">
        <v>155.88</v>
      </c>
      <c r="Q71" s="7">
        <v>15.78</v>
      </c>
      <c r="R71" s="7">
        <v>76.319999999999993</v>
      </c>
      <c r="S71" s="7">
        <v>8.17</v>
      </c>
      <c r="T71" s="7">
        <v>96.87</v>
      </c>
      <c r="U71" s="7">
        <v>25.23</v>
      </c>
      <c r="V71" s="7">
        <v>27612.55</v>
      </c>
      <c r="W71" s="7">
        <v>150.74</v>
      </c>
      <c r="X71" s="7">
        <v>83.05</v>
      </c>
      <c r="Y71" s="7">
        <v>55.07</v>
      </c>
      <c r="Z71" s="7">
        <v>42.46</v>
      </c>
      <c r="AA71" s="7">
        <v>12.95</v>
      </c>
      <c r="AB71" s="7">
        <v>11.73</v>
      </c>
      <c r="AC71" s="7">
        <v>7.47</v>
      </c>
      <c r="AD71" s="7">
        <v>92.15</v>
      </c>
      <c r="AE71" s="7">
        <v>5.88</v>
      </c>
      <c r="AF71" s="7">
        <v>32.15</v>
      </c>
      <c r="AG71" s="7">
        <v>3</v>
      </c>
      <c r="AH71" s="7" t="s">
        <v>68</v>
      </c>
      <c r="AI71" s="7">
        <v>2.19</v>
      </c>
      <c r="AJ71" s="7">
        <v>160.65</v>
      </c>
      <c r="AK71" s="7">
        <v>2.98</v>
      </c>
      <c r="AL71" s="7">
        <v>121.4</v>
      </c>
      <c r="AM71" s="7">
        <v>2.2999999999999998</v>
      </c>
      <c r="AN71" s="7">
        <v>215.13</v>
      </c>
      <c r="AO71" s="7">
        <v>3.04</v>
      </c>
      <c r="AP71" s="7">
        <v>15.8</v>
      </c>
      <c r="AQ71" s="7">
        <v>1.74</v>
      </c>
      <c r="AR71" s="7" t="s">
        <v>68</v>
      </c>
      <c r="AS71" s="7">
        <v>4.66</v>
      </c>
      <c r="AT71" s="7" t="s">
        <v>68</v>
      </c>
      <c r="AU71" s="7">
        <v>4.38</v>
      </c>
      <c r="AV71" s="7" t="s">
        <v>68</v>
      </c>
      <c r="AW71" s="7">
        <v>6.24</v>
      </c>
      <c r="AX71" s="7" t="s">
        <v>68</v>
      </c>
      <c r="AY71" s="7">
        <v>4.66</v>
      </c>
      <c r="AZ71" s="7" t="s">
        <v>68</v>
      </c>
      <c r="BA71" s="7">
        <v>7.12</v>
      </c>
      <c r="BB71" s="7" t="s">
        <v>68</v>
      </c>
      <c r="BC71" s="7">
        <v>14.4</v>
      </c>
      <c r="BD71" s="7" t="s">
        <v>68</v>
      </c>
      <c r="BE71" s="7">
        <v>4.76</v>
      </c>
      <c r="BF71" s="7">
        <v>167.44</v>
      </c>
      <c r="BG71" s="7">
        <v>14.97</v>
      </c>
      <c r="BH71" s="7" t="s">
        <v>68</v>
      </c>
      <c r="BI71" s="7">
        <v>22.78</v>
      </c>
      <c r="BJ71" s="7">
        <v>3.42</v>
      </c>
      <c r="BK71" s="7">
        <v>2.2599999999999998</v>
      </c>
      <c r="BL71" s="7" t="s">
        <v>68</v>
      </c>
      <c r="BM71" s="7">
        <v>5.14</v>
      </c>
      <c r="BN71" s="7">
        <v>26.68</v>
      </c>
      <c r="BO71" s="7">
        <v>2.96</v>
      </c>
      <c r="BP71" s="7">
        <v>14.14</v>
      </c>
      <c r="BQ71" s="7">
        <v>2.0699999999999998</v>
      </c>
      <c r="BR71" s="7" t="s">
        <v>68</v>
      </c>
      <c r="BS71" s="7">
        <v>4.97</v>
      </c>
    </row>
    <row r="72" spans="1:71">
      <c r="A72" s="7">
        <v>70</v>
      </c>
      <c r="B72" s="7">
        <f t="shared" si="1"/>
        <v>623.75</v>
      </c>
      <c r="C72" s="9" t="s">
        <v>141</v>
      </c>
      <c r="D72" s="7">
        <v>23858.61</v>
      </c>
      <c r="E72" s="7">
        <v>207.2</v>
      </c>
      <c r="F72" s="7" t="s">
        <v>68</v>
      </c>
      <c r="G72" s="7">
        <v>394.5</v>
      </c>
      <c r="H72" s="7">
        <v>18193.03</v>
      </c>
      <c r="I72" s="7">
        <v>442.56</v>
      </c>
      <c r="J72" s="7">
        <v>952.18</v>
      </c>
      <c r="K72" s="7">
        <v>107.42</v>
      </c>
      <c r="L72" s="7">
        <v>30.85</v>
      </c>
      <c r="M72" s="7">
        <v>10.69</v>
      </c>
      <c r="N72" s="7">
        <v>4970.6000000000004</v>
      </c>
      <c r="O72" s="7">
        <v>59.96</v>
      </c>
      <c r="P72" s="7">
        <v>158.88999999999999</v>
      </c>
      <c r="Q72" s="7">
        <v>15.64</v>
      </c>
      <c r="R72" s="7">
        <v>66.8</v>
      </c>
      <c r="S72" s="7">
        <v>7.99</v>
      </c>
      <c r="T72" s="7">
        <v>110.11</v>
      </c>
      <c r="U72" s="7">
        <v>25.36</v>
      </c>
      <c r="V72" s="7">
        <v>25672.02</v>
      </c>
      <c r="W72" s="7">
        <v>144.61000000000001</v>
      </c>
      <c r="X72" s="7" t="s">
        <v>68</v>
      </c>
      <c r="Y72" s="7">
        <v>78.72</v>
      </c>
      <c r="Z72" s="7">
        <v>46.53</v>
      </c>
      <c r="AA72" s="7">
        <v>12.82</v>
      </c>
      <c r="AB72" s="7">
        <v>15.37</v>
      </c>
      <c r="AC72" s="7">
        <v>7.49</v>
      </c>
      <c r="AD72" s="7">
        <v>85.01</v>
      </c>
      <c r="AE72" s="7">
        <v>5.71</v>
      </c>
      <c r="AF72" s="7">
        <v>32.33</v>
      </c>
      <c r="AG72" s="7">
        <v>3.02</v>
      </c>
      <c r="AH72" s="7" t="s">
        <v>68</v>
      </c>
      <c r="AI72" s="7">
        <v>2.1800000000000002</v>
      </c>
      <c r="AJ72" s="7">
        <v>156.1</v>
      </c>
      <c r="AK72" s="7">
        <v>2.93</v>
      </c>
      <c r="AL72" s="7">
        <v>119.24</v>
      </c>
      <c r="AM72" s="7">
        <v>2.27</v>
      </c>
      <c r="AN72" s="7">
        <v>214.18</v>
      </c>
      <c r="AO72" s="7">
        <v>3.02</v>
      </c>
      <c r="AP72" s="7">
        <v>14.75</v>
      </c>
      <c r="AQ72" s="7">
        <v>1.72</v>
      </c>
      <c r="AR72" s="7" t="s">
        <v>68</v>
      </c>
      <c r="AS72" s="7">
        <v>4.79</v>
      </c>
      <c r="AT72" s="7" t="s">
        <v>68</v>
      </c>
      <c r="AU72" s="7">
        <v>4.42</v>
      </c>
      <c r="AV72" s="7" t="s">
        <v>68</v>
      </c>
      <c r="AW72" s="7">
        <v>6.41</v>
      </c>
      <c r="AX72" s="7">
        <v>5.51</v>
      </c>
      <c r="AY72" s="7">
        <v>3.19</v>
      </c>
      <c r="AZ72" s="7" t="s">
        <v>68</v>
      </c>
      <c r="BA72" s="7">
        <v>7.28</v>
      </c>
      <c r="BB72" s="7">
        <v>23.43</v>
      </c>
      <c r="BC72" s="7">
        <v>9.8800000000000008</v>
      </c>
      <c r="BD72" s="7">
        <v>17.940000000000001</v>
      </c>
      <c r="BE72" s="7">
        <v>3.25</v>
      </c>
      <c r="BF72" s="7">
        <v>234.18</v>
      </c>
      <c r="BG72" s="7">
        <v>15.41</v>
      </c>
      <c r="BH72" s="7" t="s">
        <v>68</v>
      </c>
      <c r="BI72" s="7">
        <v>23.04</v>
      </c>
      <c r="BJ72" s="7" t="s">
        <v>68</v>
      </c>
      <c r="BK72" s="7">
        <v>3.3</v>
      </c>
      <c r="BL72" s="7" t="s">
        <v>68</v>
      </c>
      <c r="BM72" s="7">
        <v>5.05</v>
      </c>
      <c r="BN72" s="7">
        <v>28.81</v>
      </c>
      <c r="BO72" s="7">
        <v>3.01</v>
      </c>
      <c r="BP72" s="7">
        <v>14.67</v>
      </c>
      <c r="BQ72" s="7">
        <v>2.06</v>
      </c>
      <c r="BR72" s="7" t="s">
        <v>68</v>
      </c>
      <c r="BS72" s="7">
        <v>4.91</v>
      </c>
    </row>
    <row r="73" spans="1:71">
      <c r="A73" s="7">
        <v>71</v>
      </c>
      <c r="B73" s="7">
        <f t="shared" si="1"/>
        <v>603.75</v>
      </c>
      <c r="C73" s="9" t="s">
        <v>142</v>
      </c>
      <c r="D73" s="7">
        <v>22833.119999999999</v>
      </c>
      <c r="E73" s="7">
        <v>207.16</v>
      </c>
      <c r="F73" s="7" t="s">
        <v>68</v>
      </c>
      <c r="G73" s="7">
        <v>420.9</v>
      </c>
      <c r="H73" s="7">
        <v>22008.799999999999</v>
      </c>
      <c r="I73" s="7">
        <v>495.11</v>
      </c>
      <c r="J73" s="7">
        <v>716.09</v>
      </c>
      <c r="K73" s="7">
        <v>108.43</v>
      </c>
      <c r="L73" s="7">
        <v>18.829999999999998</v>
      </c>
      <c r="M73" s="7">
        <v>10.38</v>
      </c>
      <c r="N73" s="7">
        <v>4807.13</v>
      </c>
      <c r="O73" s="7">
        <v>60.58</v>
      </c>
      <c r="P73" s="7">
        <v>149.24</v>
      </c>
      <c r="Q73" s="7">
        <v>15.8</v>
      </c>
      <c r="R73" s="7">
        <v>70.53</v>
      </c>
      <c r="S73" s="7">
        <v>8.17</v>
      </c>
      <c r="T73" s="7">
        <v>57.6</v>
      </c>
      <c r="U73" s="7">
        <v>24.69</v>
      </c>
      <c r="V73" s="7">
        <v>29348.34</v>
      </c>
      <c r="W73" s="7">
        <v>155.88999999999999</v>
      </c>
      <c r="X73" s="7" t="s">
        <v>68</v>
      </c>
      <c r="Y73" s="7">
        <v>85.15</v>
      </c>
      <c r="Z73" s="7">
        <v>47.82</v>
      </c>
      <c r="AA73" s="7">
        <v>13.09</v>
      </c>
      <c r="AB73" s="7">
        <v>17.82</v>
      </c>
      <c r="AC73" s="7">
        <v>7.66</v>
      </c>
      <c r="AD73" s="7">
        <v>92.71</v>
      </c>
      <c r="AE73" s="7">
        <v>5.91</v>
      </c>
      <c r="AF73" s="7">
        <v>31.64</v>
      </c>
      <c r="AG73" s="7">
        <v>3.03</v>
      </c>
      <c r="AH73" s="7" t="s">
        <v>68</v>
      </c>
      <c r="AI73" s="7">
        <v>2.16</v>
      </c>
      <c r="AJ73" s="7">
        <v>157.53</v>
      </c>
      <c r="AK73" s="7">
        <v>2.96</v>
      </c>
      <c r="AL73" s="7">
        <v>117.66</v>
      </c>
      <c r="AM73" s="7">
        <v>2.2799999999999998</v>
      </c>
      <c r="AN73" s="7">
        <v>216.85</v>
      </c>
      <c r="AO73" s="7">
        <v>3.06</v>
      </c>
      <c r="AP73" s="7">
        <v>13.76</v>
      </c>
      <c r="AQ73" s="7">
        <v>1.73</v>
      </c>
      <c r="AR73" s="7" t="s">
        <v>68</v>
      </c>
      <c r="AS73" s="7">
        <v>4.59</v>
      </c>
      <c r="AT73" s="7" t="s">
        <v>68</v>
      </c>
      <c r="AU73" s="7">
        <v>4.34</v>
      </c>
      <c r="AV73" s="7" t="s">
        <v>68</v>
      </c>
      <c r="AW73" s="7">
        <v>6.2</v>
      </c>
      <c r="AX73" s="7" t="s">
        <v>68</v>
      </c>
      <c r="AY73" s="7">
        <v>4.66</v>
      </c>
      <c r="AZ73" s="7" t="s">
        <v>68</v>
      </c>
      <c r="BA73" s="7">
        <v>7.07</v>
      </c>
      <c r="BB73" s="7" t="s">
        <v>68</v>
      </c>
      <c r="BC73" s="7">
        <v>14.38</v>
      </c>
      <c r="BD73" s="7">
        <v>6.82</v>
      </c>
      <c r="BE73" s="7">
        <v>3.17</v>
      </c>
      <c r="BF73" s="7">
        <v>197.69</v>
      </c>
      <c r="BG73" s="7">
        <v>15.08</v>
      </c>
      <c r="BH73" s="7" t="s">
        <v>68</v>
      </c>
      <c r="BI73" s="7">
        <v>22.89</v>
      </c>
      <c r="BJ73" s="7" t="s">
        <v>68</v>
      </c>
      <c r="BK73" s="7">
        <v>3.32</v>
      </c>
      <c r="BL73" s="7">
        <v>5.94</v>
      </c>
      <c r="BM73" s="7">
        <v>3.47</v>
      </c>
      <c r="BN73" s="7">
        <v>28.49</v>
      </c>
      <c r="BO73" s="7">
        <v>3.03</v>
      </c>
      <c r="BP73" s="7">
        <v>13.91</v>
      </c>
      <c r="BQ73" s="7">
        <v>2.0699999999999998</v>
      </c>
      <c r="BR73" s="7" t="s">
        <v>68</v>
      </c>
      <c r="BS73" s="7">
        <v>4.9000000000000004</v>
      </c>
    </row>
    <row r="74" spans="1:71">
      <c r="A74" s="7">
        <v>72</v>
      </c>
      <c r="B74" s="7">
        <f t="shared" si="1"/>
        <v>583.75</v>
      </c>
      <c r="C74" s="9" t="s">
        <v>143</v>
      </c>
      <c r="D74" s="7">
        <v>22659.49</v>
      </c>
      <c r="E74" s="7">
        <v>209.33</v>
      </c>
      <c r="F74" s="7" t="s">
        <v>68</v>
      </c>
      <c r="G74" s="7">
        <v>426.61</v>
      </c>
      <c r="H74" s="7">
        <v>25184.52</v>
      </c>
      <c r="I74" s="7">
        <v>535.84</v>
      </c>
      <c r="J74" s="7">
        <v>818.39</v>
      </c>
      <c r="K74" s="7">
        <v>110.49</v>
      </c>
      <c r="L74" s="7">
        <v>17.920000000000002</v>
      </c>
      <c r="M74" s="7">
        <v>10.75</v>
      </c>
      <c r="N74" s="7">
        <v>4798.84</v>
      </c>
      <c r="O74" s="7">
        <v>61.35</v>
      </c>
      <c r="P74" s="7">
        <v>154.21</v>
      </c>
      <c r="Q74" s="7">
        <v>16.05</v>
      </c>
      <c r="R74" s="7">
        <v>76.41</v>
      </c>
      <c r="S74" s="7">
        <v>8.3800000000000008</v>
      </c>
      <c r="T74" s="7">
        <v>128.57</v>
      </c>
      <c r="U74" s="7">
        <v>26.47</v>
      </c>
      <c r="V74" s="7">
        <v>30567.62</v>
      </c>
      <c r="W74" s="7">
        <v>159.88</v>
      </c>
      <c r="X74" s="7" t="s">
        <v>68</v>
      </c>
      <c r="Y74" s="7">
        <v>87.04</v>
      </c>
      <c r="Z74" s="7">
        <v>50.88</v>
      </c>
      <c r="AA74" s="7">
        <v>13.19</v>
      </c>
      <c r="AB74" s="7">
        <v>15.93</v>
      </c>
      <c r="AC74" s="7">
        <v>7.66</v>
      </c>
      <c r="AD74" s="7">
        <v>79.900000000000006</v>
      </c>
      <c r="AE74" s="7">
        <v>5.67</v>
      </c>
      <c r="AF74" s="7">
        <v>26.21</v>
      </c>
      <c r="AG74" s="7">
        <v>2.92</v>
      </c>
      <c r="AH74" s="7" t="s">
        <v>68</v>
      </c>
      <c r="AI74" s="7">
        <v>2.2400000000000002</v>
      </c>
      <c r="AJ74" s="7">
        <v>154.25</v>
      </c>
      <c r="AK74" s="7">
        <v>2.95</v>
      </c>
      <c r="AL74" s="7">
        <v>116.75</v>
      </c>
      <c r="AM74" s="7">
        <v>2.2799999999999998</v>
      </c>
      <c r="AN74" s="7">
        <v>220.32</v>
      </c>
      <c r="AO74" s="7">
        <v>3.09</v>
      </c>
      <c r="AP74" s="7">
        <v>12.91</v>
      </c>
      <c r="AQ74" s="7">
        <v>1.73</v>
      </c>
      <c r="AR74" s="7" t="s">
        <v>68</v>
      </c>
      <c r="AS74" s="7">
        <v>4.7</v>
      </c>
      <c r="AT74" s="7" t="s">
        <v>68</v>
      </c>
      <c r="AU74" s="7">
        <v>4.4400000000000004</v>
      </c>
      <c r="AV74" s="7" t="s">
        <v>68</v>
      </c>
      <c r="AW74" s="7">
        <v>6.32</v>
      </c>
      <c r="AX74" s="7">
        <v>5.5</v>
      </c>
      <c r="AY74" s="7">
        <v>3.2</v>
      </c>
      <c r="AZ74" s="7">
        <v>7.76</v>
      </c>
      <c r="BA74" s="7">
        <v>4.9000000000000004</v>
      </c>
      <c r="BB74" s="7">
        <v>16.87</v>
      </c>
      <c r="BC74" s="7">
        <v>9.86</v>
      </c>
      <c r="BD74" s="7">
        <v>13.37</v>
      </c>
      <c r="BE74" s="7">
        <v>3.24</v>
      </c>
      <c r="BF74" s="7">
        <v>212.62</v>
      </c>
      <c r="BG74" s="7">
        <v>15.35</v>
      </c>
      <c r="BH74" s="7" t="s">
        <v>68</v>
      </c>
      <c r="BI74" s="7">
        <v>22.99</v>
      </c>
      <c r="BJ74" s="7" t="s">
        <v>68</v>
      </c>
      <c r="BK74" s="7">
        <v>3.4</v>
      </c>
      <c r="BL74" s="7" t="s">
        <v>68</v>
      </c>
      <c r="BM74" s="7">
        <v>5.16</v>
      </c>
      <c r="BN74" s="7">
        <v>27.03</v>
      </c>
      <c r="BO74" s="7">
        <v>3.01</v>
      </c>
      <c r="BP74" s="7">
        <v>16.420000000000002</v>
      </c>
      <c r="BQ74" s="7">
        <v>2.15</v>
      </c>
      <c r="BR74" s="7" t="s">
        <v>68</v>
      </c>
      <c r="BS74" s="7">
        <v>4.93</v>
      </c>
    </row>
    <row r="75" spans="1:71">
      <c r="A75" s="7">
        <v>73</v>
      </c>
      <c r="B75" s="7">
        <f t="shared" si="1"/>
        <v>563.75</v>
      </c>
      <c r="C75" s="9" t="s">
        <v>144</v>
      </c>
      <c r="D75" s="7">
        <v>23561.25</v>
      </c>
      <c r="E75" s="7">
        <v>210.35</v>
      </c>
      <c r="F75" s="7" t="s">
        <v>68</v>
      </c>
      <c r="G75" s="7">
        <v>413.25</v>
      </c>
      <c r="H75" s="7">
        <v>21408.59</v>
      </c>
      <c r="I75" s="7">
        <v>488.65</v>
      </c>
      <c r="J75" s="7">
        <v>900.35</v>
      </c>
      <c r="K75" s="7">
        <v>110.02</v>
      </c>
      <c r="L75" s="7" t="s">
        <v>68</v>
      </c>
      <c r="M75" s="7">
        <v>16</v>
      </c>
      <c r="N75" s="7">
        <v>4952.5</v>
      </c>
      <c r="O75" s="7">
        <v>61</v>
      </c>
      <c r="P75" s="7">
        <v>165.22</v>
      </c>
      <c r="Q75" s="7">
        <v>15.96</v>
      </c>
      <c r="R75" s="7">
        <v>69.16</v>
      </c>
      <c r="S75" s="7">
        <v>8.1999999999999993</v>
      </c>
      <c r="T75" s="7">
        <v>85.87</v>
      </c>
      <c r="U75" s="7">
        <v>25.2</v>
      </c>
      <c r="V75" s="7">
        <v>28520.73</v>
      </c>
      <c r="W75" s="7">
        <v>153.79</v>
      </c>
      <c r="X75" s="7">
        <v>96.75</v>
      </c>
      <c r="Y75" s="7">
        <v>56.23</v>
      </c>
      <c r="Z75" s="7">
        <v>43.12</v>
      </c>
      <c r="AA75" s="7">
        <v>13.05</v>
      </c>
      <c r="AB75" s="7">
        <v>19.690000000000001</v>
      </c>
      <c r="AC75" s="7">
        <v>7.69</v>
      </c>
      <c r="AD75" s="7">
        <v>79.28</v>
      </c>
      <c r="AE75" s="7">
        <v>5.64</v>
      </c>
      <c r="AF75" s="7">
        <v>28.22</v>
      </c>
      <c r="AG75" s="7">
        <v>3.04</v>
      </c>
      <c r="AH75" s="7" t="s">
        <v>68</v>
      </c>
      <c r="AI75" s="7">
        <v>2.27</v>
      </c>
      <c r="AJ75" s="7">
        <v>158.19999999999999</v>
      </c>
      <c r="AK75" s="7">
        <v>2.98</v>
      </c>
      <c r="AL75" s="7">
        <v>121.64</v>
      </c>
      <c r="AM75" s="7">
        <v>2.3199999999999998</v>
      </c>
      <c r="AN75" s="7">
        <v>219.97</v>
      </c>
      <c r="AO75" s="7">
        <v>3.08</v>
      </c>
      <c r="AP75" s="7">
        <v>12.49</v>
      </c>
      <c r="AQ75" s="7">
        <v>1.72</v>
      </c>
      <c r="AR75" s="7" t="s">
        <v>68</v>
      </c>
      <c r="AS75" s="7">
        <v>4.62</v>
      </c>
      <c r="AT75" s="7" t="s">
        <v>68</v>
      </c>
      <c r="AU75" s="7">
        <v>4.34</v>
      </c>
      <c r="AV75" s="7" t="s">
        <v>68</v>
      </c>
      <c r="AW75" s="7">
        <v>6.3</v>
      </c>
      <c r="AX75" s="7" t="s">
        <v>68</v>
      </c>
      <c r="AY75" s="7">
        <v>4.71</v>
      </c>
      <c r="AZ75" s="7" t="s">
        <v>68</v>
      </c>
      <c r="BA75" s="7">
        <v>7.17</v>
      </c>
      <c r="BB75" s="7" t="s">
        <v>68</v>
      </c>
      <c r="BC75" s="7">
        <v>14.45</v>
      </c>
      <c r="BD75" s="7">
        <v>9.56</v>
      </c>
      <c r="BE75" s="7">
        <v>3.2</v>
      </c>
      <c r="BF75" s="7">
        <v>203.4</v>
      </c>
      <c r="BG75" s="7">
        <v>15.2</v>
      </c>
      <c r="BH75" s="7" t="s">
        <v>68</v>
      </c>
      <c r="BI75" s="7">
        <v>23.15</v>
      </c>
      <c r="BJ75" s="7" t="s">
        <v>68</v>
      </c>
      <c r="BK75" s="7">
        <v>3.39</v>
      </c>
      <c r="BL75" s="7" t="s">
        <v>68</v>
      </c>
      <c r="BM75" s="7">
        <v>5.23</v>
      </c>
      <c r="BN75" s="7">
        <v>31.92</v>
      </c>
      <c r="BO75" s="7">
        <v>3.15</v>
      </c>
      <c r="BP75" s="7">
        <v>14.14</v>
      </c>
      <c r="BQ75" s="7">
        <v>2.09</v>
      </c>
      <c r="BR75" s="7" t="s">
        <v>68</v>
      </c>
      <c r="BS75" s="7">
        <v>5</v>
      </c>
    </row>
    <row r="76" spans="1:71">
      <c r="A76" s="7">
        <v>74</v>
      </c>
      <c r="B76" s="7">
        <f t="shared" si="1"/>
        <v>543.75</v>
      </c>
      <c r="C76" s="9" t="s">
        <v>145</v>
      </c>
      <c r="D76" s="7">
        <v>24653.45</v>
      </c>
      <c r="E76" s="7">
        <v>212.37</v>
      </c>
      <c r="F76" s="7" t="s">
        <v>68</v>
      </c>
      <c r="G76" s="7">
        <v>415.65</v>
      </c>
      <c r="H76" s="7">
        <v>18957.43</v>
      </c>
      <c r="I76" s="7">
        <v>455.44</v>
      </c>
      <c r="J76" s="7">
        <v>899.13</v>
      </c>
      <c r="K76" s="7">
        <v>110.61</v>
      </c>
      <c r="L76" s="7">
        <v>22.83</v>
      </c>
      <c r="M76" s="7">
        <v>10.76</v>
      </c>
      <c r="N76" s="7">
        <v>5172.91</v>
      </c>
      <c r="O76" s="7">
        <v>61.29</v>
      </c>
      <c r="P76" s="7">
        <v>159.55000000000001</v>
      </c>
      <c r="Q76" s="7">
        <v>15.91</v>
      </c>
      <c r="R76" s="7">
        <v>64.739999999999995</v>
      </c>
      <c r="S76" s="7">
        <v>8.1199999999999992</v>
      </c>
      <c r="T76" s="7">
        <v>103.55</v>
      </c>
      <c r="U76" s="7">
        <v>25.24</v>
      </c>
      <c r="V76" s="7">
        <v>26541.56</v>
      </c>
      <c r="W76" s="7">
        <v>146.24</v>
      </c>
      <c r="X76" s="7" t="s">
        <v>68</v>
      </c>
      <c r="Y76" s="7">
        <v>79.98</v>
      </c>
      <c r="Z76" s="7">
        <v>36.950000000000003</v>
      </c>
      <c r="AA76" s="7">
        <v>12.64</v>
      </c>
      <c r="AB76" s="7">
        <v>17.760000000000002</v>
      </c>
      <c r="AC76" s="7">
        <v>7.46</v>
      </c>
      <c r="AD76" s="7">
        <v>80.73</v>
      </c>
      <c r="AE76" s="7">
        <v>5.59</v>
      </c>
      <c r="AF76" s="7">
        <v>33.450000000000003</v>
      </c>
      <c r="AG76" s="7">
        <v>3.01</v>
      </c>
      <c r="AH76" s="7" t="s">
        <v>68</v>
      </c>
      <c r="AI76" s="7">
        <v>2.21</v>
      </c>
      <c r="AJ76" s="7">
        <v>161.87</v>
      </c>
      <c r="AK76" s="7">
        <v>2.96</v>
      </c>
      <c r="AL76" s="7">
        <v>124.51</v>
      </c>
      <c r="AM76" s="7">
        <v>2.31</v>
      </c>
      <c r="AN76" s="7">
        <v>219.54</v>
      </c>
      <c r="AO76" s="7">
        <v>3.04</v>
      </c>
      <c r="AP76" s="7">
        <v>13.93</v>
      </c>
      <c r="AQ76" s="7">
        <v>1.71</v>
      </c>
      <c r="AR76" s="7" t="s">
        <v>68</v>
      </c>
      <c r="AS76" s="7">
        <v>4.6500000000000004</v>
      </c>
      <c r="AT76" s="7" t="s">
        <v>68</v>
      </c>
      <c r="AU76" s="7">
        <v>4.37</v>
      </c>
      <c r="AV76" s="7" t="s">
        <v>68</v>
      </c>
      <c r="AW76" s="7">
        <v>6.26</v>
      </c>
      <c r="AX76" s="7" t="s">
        <v>68</v>
      </c>
      <c r="AY76" s="7">
        <v>4.66</v>
      </c>
      <c r="AZ76" s="7" t="s">
        <v>68</v>
      </c>
      <c r="BA76" s="7">
        <v>7.1</v>
      </c>
      <c r="BB76" s="7" t="s">
        <v>68</v>
      </c>
      <c r="BC76" s="7">
        <v>14.32</v>
      </c>
      <c r="BD76" s="7">
        <v>10.88</v>
      </c>
      <c r="BE76" s="7">
        <v>3.15</v>
      </c>
      <c r="BF76" s="7">
        <v>218.02</v>
      </c>
      <c r="BG76" s="7">
        <v>15</v>
      </c>
      <c r="BH76" s="7" t="s">
        <v>68</v>
      </c>
      <c r="BI76" s="7">
        <v>22.84</v>
      </c>
      <c r="BJ76" s="7" t="s">
        <v>68</v>
      </c>
      <c r="BK76" s="7">
        <v>3.33</v>
      </c>
      <c r="BL76" s="7" t="s">
        <v>68</v>
      </c>
      <c r="BM76" s="7">
        <v>5.1100000000000003</v>
      </c>
      <c r="BN76" s="7">
        <v>27.79</v>
      </c>
      <c r="BO76" s="7">
        <v>2.98</v>
      </c>
      <c r="BP76" s="7">
        <v>19.41</v>
      </c>
      <c r="BQ76" s="7">
        <v>2.1800000000000002</v>
      </c>
      <c r="BR76" s="7" t="s">
        <v>68</v>
      </c>
      <c r="BS76" s="7">
        <v>4.9400000000000004</v>
      </c>
    </row>
    <row r="77" spans="1:71">
      <c r="A77" s="7">
        <v>75</v>
      </c>
      <c r="B77" s="7">
        <f t="shared" si="1"/>
        <v>523.75</v>
      </c>
      <c r="C77" s="9" t="s">
        <v>146</v>
      </c>
      <c r="D77" s="7">
        <v>23617.439999999999</v>
      </c>
      <c r="E77" s="7">
        <v>208.68</v>
      </c>
      <c r="F77" s="7" t="s">
        <v>68</v>
      </c>
      <c r="G77" s="7">
        <v>405.31</v>
      </c>
      <c r="H77" s="7">
        <v>18546.900000000001</v>
      </c>
      <c r="I77" s="7">
        <v>452.21</v>
      </c>
      <c r="J77" s="7">
        <v>839.59</v>
      </c>
      <c r="K77" s="7">
        <v>108.35</v>
      </c>
      <c r="L77" s="7">
        <v>21.66</v>
      </c>
      <c r="M77" s="7">
        <v>10.55</v>
      </c>
      <c r="N77" s="7">
        <v>4829.95</v>
      </c>
      <c r="O77" s="7">
        <v>59.68</v>
      </c>
      <c r="P77" s="7">
        <v>163.02000000000001</v>
      </c>
      <c r="Q77" s="7">
        <v>15.64</v>
      </c>
      <c r="R77" s="7">
        <v>81.63</v>
      </c>
      <c r="S77" s="7">
        <v>8.2100000000000009</v>
      </c>
      <c r="T77" s="7">
        <v>97.31</v>
      </c>
      <c r="U77" s="7">
        <v>25.53</v>
      </c>
      <c r="V77" s="7">
        <v>28797.8</v>
      </c>
      <c r="W77" s="7">
        <v>154.57</v>
      </c>
      <c r="X77" s="7" t="s">
        <v>68</v>
      </c>
      <c r="Y77" s="7">
        <v>84.32</v>
      </c>
      <c r="Z77" s="7">
        <v>49.16</v>
      </c>
      <c r="AA77" s="7">
        <v>13.11</v>
      </c>
      <c r="AB77" s="7">
        <v>15.46</v>
      </c>
      <c r="AC77" s="7">
        <v>7.62</v>
      </c>
      <c r="AD77" s="7">
        <v>90.39</v>
      </c>
      <c r="AE77" s="7">
        <v>5.87</v>
      </c>
      <c r="AF77" s="7">
        <v>33.67</v>
      </c>
      <c r="AG77" s="7">
        <v>3.08</v>
      </c>
      <c r="AH77" s="7" t="s">
        <v>68</v>
      </c>
      <c r="AI77" s="7">
        <v>2.2799999999999998</v>
      </c>
      <c r="AJ77" s="7">
        <v>161.94</v>
      </c>
      <c r="AK77" s="7">
        <v>3</v>
      </c>
      <c r="AL77" s="7">
        <v>127.46</v>
      </c>
      <c r="AM77" s="7">
        <v>2.37</v>
      </c>
      <c r="AN77" s="7">
        <v>210.09</v>
      </c>
      <c r="AO77" s="7">
        <v>3.03</v>
      </c>
      <c r="AP77" s="7">
        <v>17.11</v>
      </c>
      <c r="AQ77" s="7">
        <v>1.76</v>
      </c>
      <c r="AR77" s="7" t="s">
        <v>68</v>
      </c>
      <c r="AS77" s="7">
        <v>4.62</v>
      </c>
      <c r="AT77" s="7" t="s">
        <v>68</v>
      </c>
      <c r="AU77" s="7">
        <v>4.43</v>
      </c>
      <c r="AV77" s="7" t="s">
        <v>68</v>
      </c>
      <c r="AW77" s="7">
        <v>6.26</v>
      </c>
      <c r="AX77" s="7" t="s">
        <v>68</v>
      </c>
      <c r="AY77" s="7">
        <v>4.72</v>
      </c>
      <c r="AZ77" s="7" t="s">
        <v>68</v>
      </c>
      <c r="BA77" s="7">
        <v>7.16</v>
      </c>
      <c r="BB77" s="7" t="s">
        <v>68</v>
      </c>
      <c r="BC77" s="7">
        <v>14.57</v>
      </c>
      <c r="BD77" s="7">
        <v>8.02</v>
      </c>
      <c r="BE77" s="7">
        <v>3.2</v>
      </c>
      <c r="BF77" s="7">
        <v>198.84</v>
      </c>
      <c r="BG77" s="7">
        <v>15.19</v>
      </c>
      <c r="BH77" s="7" t="s">
        <v>68</v>
      </c>
      <c r="BI77" s="7">
        <v>22.94</v>
      </c>
      <c r="BJ77" s="7" t="s">
        <v>68</v>
      </c>
      <c r="BK77" s="7">
        <v>3.39</v>
      </c>
      <c r="BL77" s="7" t="s">
        <v>68</v>
      </c>
      <c r="BM77" s="7">
        <v>5.17</v>
      </c>
      <c r="BN77" s="7">
        <v>28.63</v>
      </c>
      <c r="BO77" s="7">
        <v>3.05</v>
      </c>
      <c r="BP77" s="7">
        <v>15.69</v>
      </c>
      <c r="BQ77" s="7">
        <v>2.12</v>
      </c>
      <c r="BR77" s="7" t="s">
        <v>68</v>
      </c>
      <c r="BS77" s="7">
        <v>4.97</v>
      </c>
    </row>
    <row r="78" spans="1:71">
      <c r="A78" s="7">
        <v>76</v>
      </c>
      <c r="B78" s="7">
        <f t="shared" si="1"/>
        <v>503.75</v>
      </c>
      <c r="C78" s="9" t="s">
        <v>147</v>
      </c>
      <c r="D78" s="7">
        <v>23324.42</v>
      </c>
      <c r="E78" s="7">
        <v>208.26</v>
      </c>
      <c r="F78" s="7" t="s">
        <v>68</v>
      </c>
      <c r="G78" s="7">
        <v>423.19</v>
      </c>
      <c r="H78" s="7">
        <v>20048.34</v>
      </c>
      <c r="I78" s="7">
        <v>471.21</v>
      </c>
      <c r="J78" s="7">
        <v>640.36</v>
      </c>
      <c r="K78" s="7">
        <v>109.83</v>
      </c>
      <c r="L78" s="7">
        <v>25.63</v>
      </c>
      <c r="M78" s="7">
        <v>10.63</v>
      </c>
      <c r="N78" s="7">
        <v>5055.72</v>
      </c>
      <c r="O78" s="7">
        <v>61.13</v>
      </c>
      <c r="P78" s="7">
        <v>142.18</v>
      </c>
      <c r="Q78" s="7">
        <v>15.76</v>
      </c>
      <c r="R78" s="7">
        <v>68.16</v>
      </c>
      <c r="S78" s="7">
        <v>8.09</v>
      </c>
      <c r="T78" s="7">
        <v>110.86</v>
      </c>
      <c r="U78" s="7">
        <v>26</v>
      </c>
      <c r="V78" s="7">
        <v>29077.71</v>
      </c>
      <c r="W78" s="7">
        <v>155.68</v>
      </c>
      <c r="X78" s="7" t="s">
        <v>68</v>
      </c>
      <c r="Y78" s="7">
        <v>84.73</v>
      </c>
      <c r="Z78" s="7">
        <v>46.67</v>
      </c>
      <c r="AA78" s="7">
        <v>13.11</v>
      </c>
      <c r="AB78" s="7">
        <v>12.81</v>
      </c>
      <c r="AC78" s="7">
        <v>7.58</v>
      </c>
      <c r="AD78" s="7">
        <v>86.17</v>
      </c>
      <c r="AE78" s="7">
        <v>5.81</v>
      </c>
      <c r="AF78" s="7">
        <v>33.42</v>
      </c>
      <c r="AG78" s="7">
        <v>3.04</v>
      </c>
      <c r="AH78" s="7" t="s">
        <v>68</v>
      </c>
      <c r="AI78" s="7">
        <v>2.27</v>
      </c>
      <c r="AJ78" s="7">
        <v>156.34</v>
      </c>
      <c r="AK78" s="7">
        <v>2.97</v>
      </c>
      <c r="AL78" s="7">
        <v>124.64</v>
      </c>
      <c r="AM78" s="7">
        <v>2.35</v>
      </c>
      <c r="AN78" s="7">
        <v>232.94</v>
      </c>
      <c r="AO78" s="7">
        <v>3.16</v>
      </c>
      <c r="AP78" s="7">
        <v>13.91</v>
      </c>
      <c r="AQ78" s="7">
        <v>1.75</v>
      </c>
      <c r="AR78" s="7" t="s">
        <v>68</v>
      </c>
      <c r="AS78" s="7">
        <v>4.68</v>
      </c>
      <c r="AT78" s="7" t="s">
        <v>68</v>
      </c>
      <c r="AU78" s="7">
        <v>4.4400000000000004</v>
      </c>
      <c r="AV78" s="7" t="s">
        <v>68</v>
      </c>
      <c r="AW78" s="7">
        <v>6.33</v>
      </c>
      <c r="AX78" s="7" t="s">
        <v>68</v>
      </c>
      <c r="AY78" s="7">
        <v>4.7300000000000004</v>
      </c>
      <c r="AZ78" s="7" t="s">
        <v>68</v>
      </c>
      <c r="BA78" s="7">
        <v>7.2</v>
      </c>
      <c r="BB78" s="7" t="s">
        <v>68</v>
      </c>
      <c r="BC78" s="7">
        <v>14.47</v>
      </c>
      <c r="BD78" s="7">
        <v>10.42</v>
      </c>
      <c r="BE78" s="7">
        <v>3.21</v>
      </c>
      <c r="BF78" s="7">
        <v>199.69</v>
      </c>
      <c r="BG78" s="7">
        <v>15.22</v>
      </c>
      <c r="BH78" s="7" t="s">
        <v>68</v>
      </c>
      <c r="BI78" s="7">
        <v>23.36</v>
      </c>
      <c r="BJ78" s="7" t="s">
        <v>68</v>
      </c>
      <c r="BK78" s="7">
        <v>3.4</v>
      </c>
      <c r="BL78" s="7" t="s">
        <v>68</v>
      </c>
      <c r="BM78" s="7">
        <v>5.27</v>
      </c>
      <c r="BN78" s="7">
        <v>26.69</v>
      </c>
      <c r="BO78" s="7">
        <v>2.99</v>
      </c>
      <c r="BP78" s="7">
        <v>14.51</v>
      </c>
      <c r="BQ78" s="7">
        <v>2.09</v>
      </c>
      <c r="BR78" s="7" t="s">
        <v>68</v>
      </c>
      <c r="BS78" s="7">
        <v>4.97</v>
      </c>
    </row>
    <row r="79" spans="1:71">
      <c r="A79" s="7">
        <v>77</v>
      </c>
      <c r="B79" s="7">
        <f t="shared" si="1"/>
        <v>483.75</v>
      </c>
      <c r="C79" s="9" t="s">
        <v>148</v>
      </c>
      <c r="D79" s="7">
        <v>23304.45</v>
      </c>
      <c r="E79" s="7">
        <v>211.04</v>
      </c>
      <c r="F79" s="7" t="s">
        <v>68</v>
      </c>
      <c r="G79" s="7">
        <v>402.2</v>
      </c>
      <c r="H79" s="7">
        <v>20773.88</v>
      </c>
      <c r="I79" s="7">
        <v>485.95</v>
      </c>
      <c r="J79" s="7">
        <v>924.2</v>
      </c>
      <c r="K79" s="7">
        <v>109.05</v>
      </c>
      <c r="L79" s="7">
        <v>23.32</v>
      </c>
      <c r="M79" s="7">
        <v>10.78</v>
      </c>
      <c r="N79" s="7">
        <v>4951.6899999999996</v>
      </c>
      <c r="O79" s="7">
        <v>61.41</v>
      </c>
      <c r="P79" s="7">
        <v>160.4</v>
      </c>
      <c r="Q79" s="7">
        <v>16.02</v>
      </c>
      <c r="R79" s="7">
        <v>71.150000000000006</v>
      </c>
      <c r="S79" s="7">
        <v>8.25</v>
      </c>
      <c r="T79" s="7">
        <v>107.26</v>
      </c>
      <c r="U79" s="7">
        <v>25.93</v>
      </c>
      <c r="V79" s="7">
        <v>30698.92</v>
      </c>
      <c r="W79" s="7">
        <v>159.69</v>
      </c>
      <c r="X79" s="7" t="s">
        <v>68</v>
      </c>
      <c r="Y79" s="7">
        <v>87.05</v>
      </c>
      <c r="Z79" s="7">
        <v>40.1</v>
      </c>
      <c r="AA79" s="7">
        <v>13.06</v>
      </c>
      <c r="AB79" s="7">
        <v>20.78</v>
      </c>
      <c r="AC79" s="7">
        <v>7.75</v>
      </c>
      <c r="AD79" s="7">
        <v>92.78</v>
      </c>
      <c r="AE79" s="7">
        <v>5.93</v>
      </c>
      <c r="AF79" s="7">
        <v>36.28</v>
      </c>
      <c r="AG79" s="7">
        <v>3.1</v>
      </c>
      <c r="AH79" s="7" t="s">
        <v>68</v>
      </c>
      <c r="AI79" s="7">
        <v>2.2400000000000002</v>
      </c>
      <c r="AJ79" s="7">
        <v>156.78</v>
      </c>
      <c r="AK79" s="7">
        <v>2.97</v>
      </c>
      <c r="AL79" s="7">
        <v>122.88</v>
      </c>
      <c r="AM79" s="7">
        <v>2.33</v>
      </c>
      <c r="AN79" s="7">
        <v>220.13</v>
      </c>
      <c r="AO79" s="7">
        <v>3.09</v>
      </c>
      <c r="AP79" s="7">
        <v>14.67</v>
      </c>
      <c r="AQ79" s="7">
        <v>1.75</v>
      </c>
      <c r="AR79" s="7" t="s">
        <v>68</v>
      </c>
      <c r="AS79" s="7">
        <v>4.72</v>
      </c>
      <c r="AT79" s="7" t="s">
        <v>68</v>
      </c>
      <c r="AU79" s="7">
        <v>4.4800000000000004</v>
      </c>
      <c r="AV79" s="7" t="s">
        <v>68</v>
      </c>
      <c r="AW79" s="7">
        <v>6.45</v>
      </c>
      <c r="AX79" s="7" t="s">
        <v>68</v>
      </c>
      <c r="AY79" s="7">
        <v>4.79</v>
      </c>
      <c r="AZ79" s="7" t="s">
        <v>68</v>
      </c>
      <c r="BA79" s="7">
        <v>7.23</v>
      </c>
      <c r="BB79" s="7" t="s">
        <v>68</v>
      </c>
      <c r="BC79" s="7">
        <v>14.7</v>
      </c>
      <c r="BD79" s="7">
        <v>5.77</v>
      </c>
      <c r="BE79" s="7">
        <v>3.23</v>
      </c>
      <c r="BF79" s="7">
        <v>191.46</v>
      </c>
      <c r="BG79" s="7">
        <v>15.33</v>
      </c>
      <c r="BH79" s="7" t="s">
        <v>68</v>
      </c>
      <c r="BI79" s="7">
        <v>22.93</v>
      </c>
      <c r="BJ79" s="7">
        <v>4.1900000000000004</v>
      </c>
      <c r="BK79" s="7">
        <v>2.3199999999999998</v>
      </c>
      <c r="BL79" s="7">
        <v>5.37</v>
      </c>
      <c r="BM79" s="7">
        <v>3.47</v>
      </c>
      <c r="BN79" s="7">
        <v>27.18</v>
      </c>
      <c r="BO79" s="7">
        <v>3</v>
      </c>
      <c r="BP79" s="7">
        <v>14.14</v>
      </c>
      <c r="BQ79" s="7">
        <v>2.08</v>
      </c>
      <c r="BR79" s="7" t="s">
        <v>68</v>
      </c>
      <c r="BS79" s="7">
        <v>4.96</v>
      </c>
    </row>
    <row r="80" spans="1:71">
      <c r="A80" s="7">
        <v>78</v>
      </c>
      <c r="B80" s="7">
        <f t="shared" si="1"/>
        <v>463.75</v>
      </c>
      <c r="C80" s="9" t="s">
        <v>149</v>
      </c>
      <c r="D80" s="7">
        <v>23270.85</v>
      </c>
      <c r="E80" s="7">
        <v>213.66</v>
      </c>
      <c r="F80" s="7" t="s">
        <v>68</v>
      </c>
      <c r="G80" s="7">
        <v>438.49</v>
      </c>
      <c r="H80" s="7">
        <v>24256.22</v>
      </c>
      <c r="I80" s="7">
        <v>530.41999999999996</v>
      </c>
      <c r="J80" s="7">
        <v>656.67</v>
      </c>
      <c r="K80" s="7">
        <v>111.16</v>
      </c>
      <c r="L80" s="7">
        <v>24</v>
      </c>
      <c r="M80" s="7">
        <v>10.8</v>
      </c>
      <c r="N80" s="7">
        <v>4915.83</v>
      </c>
      <c r="O80" s="7">
        <v>61.95</v>
      </c>
      <c r="P80" s="7">
        <v>150.9</v>
      </c>
      <c r="Q80" s="7">
        <v>16.09</v>
      </c>
      <c r="R80" s="7">
        <v>73.58</v>
      </c>
      <c r="S80" s="7">
        <v>8.3800000000000008</v>
      </c>
      <c r="T80" s="7">
        <v>88.82</v>
      </c>
      <c r="U80" s="7">
        <v>26.13</v>
      </c>
      <c r="V80" s="7">
        <v>33809.019999999997</v>
      </c>
      <c r="W80" s="7">
        <v>170.02</v>
      </c>
      <c r="X80" s="7" t="s">
        <v>68</v>
      </c>
      <c r="Y80" s="7">
        <v>92.45</v>
      </c>
      <c r="Z80" s="7">
        <v>37.67</v>
      </c>
      <c r="AA80" s="7">
        <v>13.32</v>
      </c>
      <c r="AB80" s="7">
        <v>15.21</v>
      </c>
      <c r="AC80" s="7">
        <v>7.79</v>
      </c>
      <c r="AD80" s="7">
        <v>86.45</v>
      </c>
      <c r="AE80" s="7">
        <v>5.91</v>
      </c>
      <c r="AF80" s="7">
        <v>40.92</v>
      </c>
      <c r="AG80" s="7">
        <v>3.29</v>
      </c>
      <c r="AH80" s="7" t="s">
        <v>68</v>
      </c>
      <c r="AI80" s="7">
        <v>2.2999999999999998</v>
      </c>
      <c r="AJ80" s="7">
        <v>159.56</v>
      </c>
      <c r="AK80" s="7">
        <v>3.03</v>
      </c>
      <c r="AL80" s="7">
        <v>128.75</v>
      </c>
      <c r="AM80" s="7">
        <v>2.42</v>
      </c>
      <c r="AN80" s="7">
        <v>221.66</v>
      </c>
      <c r="AO80" s="7">
        <v>3.15</v>
      </c>
      <c r="AP80" s="7">
        <v>17.899999999999999</v>
      </c>
      <c r="AQ80" s="7">
        <v>1.8</v>
      </c>
      <c r="AR80" s="7" t="s">
        <v>68</v>
      </c>
      <c r="AS80" s="7">
        <v>4.78</v>
      </c>
      <c r="AT80" s="7" t="s">
        <v>68</v>
      </c>
      <c r="AU80" s="7">
        <v>4.43</v>
      </c>
      <c r="AV80" s="7" t="s">
        <v>68</v>
      </c>
      <c r="AW80" s="7">
        <v>6.39</v>
      </c>
      <c r="AX80" s="7" t="s">
        <v>68</v>
      </c>
      <c r="AY80" s="7">
        <v>4.79</v>
      </c>
      <c r="AZ80" s="7" t="s">
        <v>68</v>
      </c>
      <c r="BA80" s="7">
        <v>7.29</v>
      </c>
      <c r="BB80" s="7" t="s">
        <v>68</v>
      </c>
      <c r="BC80" s="7">
        <v>14.73</v>
      </c>
      <c r="BD80" s="7">
        <v>7.59</v>
      </c>
      <c r="BE80" s="7">
        <v>3.24</v>
      </c>
      <c r="BF80" s="7">
        <v>195.13</v>
      </c>
      <c r="BG80" s="7">
        <v>15.4</v>
      </c>
      <c r="BH80" s="7" t="s">
        <v>68</v>
      </c>
      <c r="BI80" s="7">
        <v>23.92</v>
      </c>
      <c r="BJ80" s="7" t="s">
        <v>68</v>
      </c>
      <c r="BK80" s="7">
        <v>3.45</v>
      </c>
      <c r="BL80" s="7" t="s">
        <v>68</v>
      </c>
      <c r="BM80" s="7">
        <v>5.34</v>
      </c>
      <c r="BN80" s="7">
        <v>30.29</v>
      </c>
      <c r="BO80" s="7">
        <v>3.15</v>
      </c>
      <c r="BP80" s="7">
        <v>14.36</v>
      </c>
      <c r="BQ80" s="7">
        <v>2.14</v>
      </c>
      <c r="BR80" s="7" t="s">
        <v>68</v>
      </c>
      <c r="BS80" s="7">
        <v>5.0199999999999996</v>
      </c>
    </row>
    <row r="81" spans="1:71">
      <c r="A81" s="7">
        <v>79</v>
      </c>
      <c r="B81" s="7">
        <f t="shared" si="1"/>
        <v>443.75</v>
      </c>
      <c r="C81" s="9" t="s">
        <v>150</v>
      </c>
      <c r="D81" s="7">
        <v>24348.53</v>
      </c>
      <c r="E81" s="7">
        <v>203.26</v>
      </c>
      <c r="F81" s="7" t="s">
        <v>68</v>
      </c>
      <c r="G81" s="7">
        <v>379.36</v>
      </c>
      <c r="H81" s="7">
        <v>15030.01</v>
      </c>
      <c r="I81" s="7">
        <v>392.5</v>
      </c>
      <c r="J81" s="7">
        <v>896.87</v>
      </c>
      <c r="K81" s="7">
        <v>104.22</v>
      </c>
      <c r="L81" s="7">
        <v>18</v>
      </c>
      <c r="M81" s="7">
        <v>9.9600000000000009</v>
      </c>
      <c r="N81" s="7">
        <v>5055.6400000000003</v>
      </c>
      <c r="O81" s="7">
        <v>58.61</v>
      </c>
      <c r="P81" s="7">
        <v>158.80000000000001</v>
      </c>
      <c r="Q81" s="7">
        <v>15.25</v>
      </c>
      <c r="R81" s="7">
        <v>75.19</v>
      </c>
      <c r="S81" s="7">
        <v>7.81</v>
      </c>
      <c r="T81" s="7">
        <v>75.73</v>
      </c>
      <c r="U81" s="7">
        <v>24.23</v>
      </c>
      <c r="V81" s="7">
        <v>22807.81</v>
      </c>
      <c r="W81" s="7">
        <v>135.63999999999999</v>
      </c>
      <c r="X81" s="7" t="s">
        <v>68</v>
      </c>
      <c r="Y81" s="7">
        <v>74.56</v>
      </c>
      <c r="Z81" s="7">
        <v>27.2</v>
      </c>
      <c r="AA81" s="7">
        <v>12.5</v>
      </c>
      <c r="AB81" s="7">
        <v>12.05</v>
      </c>
      <c r="AC81" s="7">
        <v>7.34</v>
      </c>
      <c r="AD81" s="7">
        <v>83.12</v>
      </c>
      <c r="AE81" s="7">
        <v>5.62</v>
      </c>
      <c r="AF81" s="7">
        <v>24.78</v>
      </c>
      <c r="AG81" s="7">
        <v>2.9</v>
      </c>
      <c r="AH81" s="7" t="s">
        <v>68</v>
      </c>
      <c r="AI81" s="7">
        <v>2.11</v>
      </c>
      <c r="AJ81" s="7">
        <v>164.08</v>
      </c>
      <c r="AK81" s="7">
        <v>2.98</v>
      </c>
      <c r="AL81" s="7">
        <v>131.30000000000001</v>
      </c>
      <c r="AM81" s="7">
        <v>2.36</v>
      </c>
      <c r="AN81" s="7">
        <v>224.75</v>
      </c>
      <c r="AO81" s="7">
        <v>3.07</v>
      </c>
      <c r="AP81" s="7">
        <v>10.41</v>
      </c>
      <c r="AQ81" s="7">
        <v>1.68</v>
      </c>
      <c r="AR81" s="7" t="s">
        <v>68</v>
      </c>
      <c r="AS81" s="7">
        <v>4.5</v>
      </c>
      <c r="AT81" s="7" t="s">
        <v>68</v>
      </c>
      <c r="AU81" s="7">
        <v>4.29</v>
      </c>
      <c r="AV81" s="7" t="s">
        <v>68</v>
      </c>
      <c r="AW81" s="7">
        <v>6.16</v>
      </c>
      <c r="AX81" s="7" t="s">
        <v>68</v>
      </c>
      <c r="AY81" s="7">
        <v>4.6100000000000003</v>
      </c>
      <c r="AZ81" s="7" t="s">
        <v>68</v>
      </c>
      <c r="BA81" s="7">
        <v>6.96</v>
      </c>
      <c r="BB81" s="7" t="s">
        <v>68</v>
      </c>
      <c r="BC81" s="7">
        <v>14.13</v>
      </c>
      <c r="BD81" s="7" t="s">
        <v>68</v>
      </c>
      <c r="BE81" s="7">
        <v>4.66</v>
      </c>
      <c r="BF81" s="7">
        <v>159.44</v>
      </c>
      <c r="BG81" s="7">
        <v>14.7</v>
      </c>
      <c r="BH81" s="7" t="s">
        <v>68</v>
      </c>
      <c r="BI81" s="7">
        <v>22.46</v>
      </c>
      <c r="BJ81" s="7" t="s">
        <v>68</v>
      </c>
      <c r="BK81" s="7">
        <v>3.18</v>
      </c>
      <c r="BL81" s="7" t="s">
        <v>68</v>
      </c>
      <c r="BM81" s="7">
        <v>5.01</v>
      </c>
      <c r="BN81" s="7">
        <v>30.4</v>
      </c>
      <c r="BO81" s="7">
        <v>3.04</v>
      </c>
      <c r="BP81" s="7">
        <v>15.79</v>
      </c>
      <c r="BQ81" s="7">
        <v>2.08</v>
      </c>
      <c r="BR81" s="7" t="s">
        <v>68</v>
      </c>
      <c r="BS81" s="7">
        <v>4.93</v>
      </c>
    </row>
    <row r="82" spans="1:71">
      <c r="A82" s="7">
        <v>80</v>
      </c>
      <c r="B82" s="7">
        <f t="shared" si="1"/>
        <v>423.75</v>
      </c>
      <c r="C82" s="9" t="s">
        <v>151</v>
      </c>
      <c r="D82" s="7">
        <v>23466.19</v>
      </c>
      <c r="E82" s="7">
        <v>199.93</v>
      </c>
      <c r="F82" s="7" t="s">
        <v>68</v>
      </c>
      <c r="G82" s="7">
        <v>403.69</v>
      </c>
      <c r="H82" s="7">
        <v>16851.419999999998</v>
      </c>
      <c r="I82" s="7">
        <v>414.89</v>
      </c>
      <c r="J82" s="7">
        <v>867.59</v>
      </c>
      <c r="K82" s="7">
        <v>105.75</v>
      </c>
      <c r="L82" s="7">
        <v>30.3</v>
      </c>
      <c r="M82" s="7">
        <v>10.38</v>
      </c>
      <c r="N82" s="7">
        <v>4865.5200000000004</v>
      </c>
      <c r="O82" s="7">
        <v>57.62</v>
      </c>
      <c r="P82" s="7">
        <v>151.47</v>
      </c>
      <c r="Q82" s="7">
        <v>15</v>
      </c>
      <c r="R82" s="7">
        <v>62.87</v>
      </c>
      <c r="S82" s="7">
        <v>7.71</v>
      </c>
      <c r="T82" s="7">
        <v>81.86</v>
      </c>
      <c r="U82" s="7">
        <v>24.36</v>
      </c>
      <c r="V82" s="7">
        <v>23880.59</v>
      </c>
      <c r="W82" s="7">
        <v>138.63</v>
      </c>
      <c r="X82" s="7" t="s">
        <v>68</v>
      </c>
      <c r="Y82" s="7">
        <v>75.72</v>
      </c>
      <c r="Z82" s="7">
        <v>31.25</v>
      </c>
      <c r="AA82" s="7">
        <v>12.51</v>
      </c>
      <c r="AB82" s="7">
        <v>11.89</v>
      </c>
      <c r="AC82" s="7">
        <v>7.33</v>
      </c>
      <c r="AD82" s="7">
        <v>82.8</v>
      </c>
      <c r="AE82" s="7">
        <v>5.63</v>
      </c>
      <c r="AF82" s="7">
        <v>28.53</v>
      </c>
      <c r="AG82" s="7">
        <v>2.98</v>
      </c>
      <c r="AH82" s="7" t="s">
        <v>68</v>
      </c>
      <c r="AI82" s="7">
        <v>2.19</v>
      </c>
      <c r="AJ82" s="7">
        <v>156.88999999999999</v>
      </c>
      <c r="AK82" s="7">
        <v>2.91</v>
      </c>
      <c r="AL82" s="7">
        <v>126.16</v>
      </c>
      <c r="AM82" s="7">
        <v>2.3199999999999998</v>
      </c>
      <c r="AN82" s="7">
        <v>226.25</v>
      </c>
      <c r="AO82" s="7">
        <v>3.07</v>
      </c>
      <c r="AP82" s="7">
        <v>12.58</v>
      </c>
      <c r="AQ82" s="7">
        <v>1.7</v>
      </c>
      <c r="AR82" s="7" t="s">
        <v>68</v>
      </c>
      <c r="AS82" s="7">
        <v>4.6399999999999997</v>
      </c>
      <c r="AT82" s="7" t="s">
        <v>68</v>
      </c>
      <c r="AU82" s="7">
        <v>4.3099999999999996</v>
      </c>
      <c r="AV82" s="7" t="s">
        <v>68</v>
      </c>
      <c r="AW82" s="7">
        <v>6.14</v>
      </c>
      <c r="AX82" s="7">
        <v>5.0999999999999996</v>
      </c>
      <c r="AY82" s="7">
        <v>3.12</v>
      </c>
      <c r="AZ82" s="7" t="s">
        <v>68</v>
      </c>
      <c r="BA82" s="7">
        <v>7.02</v>
      </c>
      <c r="BB82" s="7" t="s">
        <v>68</v>
      </c>
      <c r="BC82" s="7">
        <v>14.22</v>
      </c>
      <c r="BD82" s="7" t="s">
        <v>68</v>
      </c>
      <c r="BE82" s="7">
        <v>4.7</v>
      </c>
      <c r="BF82" s="7">
        <v>179.73</v>
      </c>
      <c r="BG82" s="7">
        <v>14.85</v>
      </c>
      <c r="BH82" s="7" t="s">
        <v>68</v>
      </c>
      <c r="BI82" s="7">
        <v>22.84</v>
      </c>
      <c r="BJ82" s="7" t="s">
        <v>68</v>
      </c>
      <c r="BK82" s="7">
        <v>3.24</v>
      </c>
      <c r="BL82" s="7" t="s">
        <v>68</v>
      </c>
      <c r="BM82" s="7">
        <v>5.1100000000000003</v>
      </c>
      <c r="BN82" s="7">
        <v>31.28</v>
      </c>
      <c r="BO82" s="7">
        <v>3.07</v>
      </c>
      <c r="BP82" s="7">
        <v>14.27</v>
      </c>
      <c r="BQ82" s="7">
        <v>2.04</v>
      </c>
      <c r="BR82" s="7" t="s">
        <v>68</v>
      </c>
      <c r="BS82" s="7">
        <v>4.84</v>
      </c>
    </row>
    <row r="83" spans="1:71">
      <c r="A83" s="7">
        <v>81</v>
      </c>
      <c r="B83" s="7">
        <f t="shared" si="1"/>
        <v>403.75</v>
      </c>
      <c r="C83" s="9" t="s">
        <v>152</v>
      </c>
      <c r="D83" s="7">
        <v>22002.5</v>
      </c>
      <c r="E83" s="7">
        <v>197.6</v>
      </c>
      <c r="F83" s="7" t="s">
        <v>68</v>
      </c>
      <c r="G83" s="7">
        <v>406.3</v>
      </c>
      <c r="H83" s="7">
        <v>19583.900000000001</v>
      </c>
      <c r="I83" s="7">
        <v>454.39</v>
      </c>
      <c r="J83" s="7">
        <v>848.43</v>
      </c>
      <c r="K83" s="7">
        <v>107.14</v>
      </c>
      <c r="L83" s="7">
        <v>22.02</v>
      </c>
      <c r="M83" s="7">
        <v>10.41</v>
      </c>
      <c r="N83" s="7">
        <v>4819.04</v>
      </c>
      <c r="O83" s="7">
        <v>58.57</v>
      </c>
      <c r="P83" s="7">
        <v>153.19999999999999</v>
      </c>
      <c r="Q83" s="7">
        <v>15.29</v>
      </c>
      <c r="R83" s="7">
        <v>69.55</v>
      </c>
      <c r="S83" s="7">
        <v>7.92</v>
      </c>
      <c r="T83" s="7">
        <v>88.56</v>
      </c>
      <c r="U83" s="7">
        <v>24.63</v>
      </c>
      <c r="V83" s="7">
        <v>25219.16</v>
      </c>
      <c r="W83" s="7">
        <v>142.25</v>
      </c>
      <c r="X83" s="7" t="s">
        <v>68</v>
      </c>
      <c r="Y83" s="7">
        <v>77.72</v>
      </c>
      <c r="Z83" s="7">
        <v>30.19</v>
      </c>
      <c r="AA83" s="7">
        <v>12.53</v>
      </c>
      <c r="AB83" s="7">
        <v>14.51</v>
      </c>
      <c r="AC83" s="7">
        <v>7.39</v>
      </c>
      <c r="AD83" s="7">
        <v>66.39</v>
      </c>
      <c r="AE83" s="7">
        <v>5.25</v>
      </c>
      <c r="AF83" s="7">
        <v>25.28</v>
      </c>
      <c r="AG83" s="7">
        <v>2.82</v>
      </c>
      <c r="AH83" s="7" t="s">
        <v>68</v>
      </c>
      <c r="AI83" s="7">
        <v>2.15</v>
      </c>
      <c r="AJ83" s="7">
        <v>148.6</v>
      </c>
      <c r="AK83" s="7">
        <v>2.83</v>
      </c>
      <c r="AL83" s="7">
        <v>113.01</v>
      </c>
      <c r="AM83" s="7">
        <v>2.2000000000000002</v>
      </c>
      <c r="AN83" s="7">
        <v>227.46</v>
      </c>
      <c r="AO83" s="7">
        <v>3.06</v>
      </c>
      <c r="AP83" s="7">
        <v>14.37</v>
      </c>
      <c r="AQ83" s="7">
        <v>1.71</v>
      </c>
      <c r="AR83" s="7" t="s">
        <v>68</v>
      </c>
      <c r="AS83" s="7">
        <v>4.6500000000000004</v>
      </c>
      <c r="AT83" s="7" t="s">
        <v>68</v>
      </c>
      <c r="AU83" s="7">
        <v>4.3899999999999997</v>
      </c>
      <c r="AV83" s="7" t="s">
        <v>68</v>
      </c>
      <c r="AW83" s="7">
        <v>6.2</v>
      </c>
      <c r="AX83" s="7" t="s">
        <v>68</v>
      </c>
      <c r="AY83" s="7">
        <v>4.6500000000000004</v>
      </c>
      <c r="AZ83" s="7" t="s">
        <v>68</v>
      </c>
      <c r="BA83" s="7">
        <v>7.03</v>
      </c>
      <c r="BB83" s="7" t="s">
        <v>68</v>
      </c>
      <c r="BC83" s="7">
        <v>14.3</v>
      </c>
      <c r="BD83" s="7" t="s">
        <v>68</v>
      </c>
      <c r="BE83" s="7">
        <v>4.71</v>
      </c>
      <c r="BF83" s="7">
        <v>143.5</v>
      </c>
      <c r="BG83" s="7">
        <v>14.77</v>
      </c>
      <c r="BH83" s="7" t="s">
        <v>68</v>
      </c>
      <c r="BI83" s="7">
        <v>22.51</v>
      </c>
      <c r="BJ83" s="7" t="s">
        <v>68</v>
      </c>
      <c r="BK83" s="7">
        <v>3.29</v>
      </c>
      <c r="BL83" s="7" t="s">
        <v>68</v>
      </c>
      <c r="BM83" s="7">
        <v>5.04</v>
      </c>
      <c r="BN83" s="7">
        <v>26.36</v>
      </c>
      <c r="BO83" s="7">
        <v>2.91</v>
      </c>
      <c r="BP83" s="7">
        <v>16.32</v>
      </c>
      <c r="BQ83" s="7">
        <v>2.08</v>
      </c>
      <c r="BR83" s="7" t="s">
        <v>68</v>
      </c>
      <c r="BS83" s="7">
        <v>4.7300000000000004</v>
      </c>
    </row>
    <row r="84" spans="1:71">
      <c r="A84" s="7">
        <v>82</v>
      </c>
      <c r="B84" s="7">
        <f t="shared" si="1"/>
        <v>383.75</v>
      </c>
      <c r="C84" s="9" t="s">
        <v>153</v>
      </c>
      <c r="D84" s="7">
        <v>20877.650000000001</v>
      </c>
      <c r="E84" s="7">
        <v>203.69</v>
      </c>
      <c r="F84" s="7" t="s">
        <v>68</v>
      </c>
      <c r="G84" s="7">
        <v>424.54</v>
      </c>
      <c r="H84" s="7">
        <v>30574.09</v>
      </c>
      <c r="I84" s="7">
        <v>595.74</v>
      </c>
      <c r="J84" s="7">
        <v>932.1</v>
      </c>
      <c r="K84" s="7">
        <v>110.58</v>
      </c>
      <c r="L84" s="7" t="s">
        <v>68</v>
      </c>
      <c r="M84" s="7">
        <v>16.440000000000001</v>
      </c>
      <c r="N84" s="7">
        <v>4469.1099999999997</v>
      </c>
      <c r="O84" s="7">
        <v>60.16</v>
      </c>
      <c r="P84" s="7">
        <v>154.76</v>
      </c>
      <c r="Q84" s="7">
        <v>15.87</v>
      </c>
      <c r="R84" s="7">
        <v>69.239999999999995</v>
      </c>
      <c r="S84" s="7">
        <v>8.3699999999999992</v>
      </c>
      <c r="T84" s="7">
        <v>80.75</v>
      </c>
      <c r="U84" s="7">
        <v>25.81</v>
      </c>
      <c r="V84" s="7">
        <v>34880.6</v>
      </c>
      <c r="W84" s="7">
        <v>172.17</v>
      </c>
      <c r="X84" s="7" t="s">
        <v>68</v>
      </c>
      <c r="Y84" s="7">
        <v>93.26</v>
      </c>
      <c r="Z84" s="7">
        <v>28.91</v>
      </c>
      <c r="AA84" s="7">
        <v>13.12</v>
      </c>
      <c r="AB84" s="7" t="s">
        <v>68</v>
      </c>
      <c r="AC84" s="7">
        <v>11.45</v>
      </c>
      <c r="AD84" s="7">
        <v>78.31</v>
      </c>
      <c r="AE84" s="7">
        <v>5.69</v>
      </c>
      <c r="AF84" s="7">
        <v>31.55</v>
      </c>
      <c r="AG84" s="7">
        <v>2.98</v>
      </c>
      <c r="AH84" s="7" t="s">
        <v>68</v>
      </c>
      <c r="AI84" s="7">
        <v>2.21</v>
      </c>
      <c r="AJ84" s="7">
        <v>144.1</v>
      </c>
      <c r="AK84" s="7">
        <v>2.88</v>
      </c>
      <c r="AL84" s="7">
        <v>110.37</v>
      </c>
      <c r="AM84" s="7">
        <v>2.25</v>
      </c>
      <c r="AN84" s="7">
        <v>224.49</v>
      </c>
      <c r="AO84" s="7">
        <v>3.14</v>
      </c>
      <c r="AP84" s="7">
        <v>18.78</v>
      </c>
      <c r="AQ84" s="7">
        <v>1.8</v>
      </c>
      <c r="AR84" s="7" t="s">
        <v>68</v>
      </c>
      <c r="AS84" s="7">
        <v>4.79</v>
      </c>
      <c r="AT84" s="7" t="s">
        <v>68</v>
      </c>
      <c r="AU84" s="7">
        <v>4.47</v>
      </c>
      <c r="AV84" s="7" t="s">
        <v>68</v>
      </c>
      <c r="AW84" s="7">
        <v>6.4</v>
      </c>
      <c r="AX84" s="7" t="s">
        <v>68</v>
      </c>
      <c r="AY84" s="7">
        <v>4.8099999999999996</v>
      </c>
      <c r="AZ84" s="7" t="s">
        <v>68</v>
      </c>
      <c r="BA84" s="7">
        <v>7.24</v>
      </c>
      <c r="BB84" s="7" t="s">
        <v>68</v>
      </c>
      <c r="BC84" s="7">
        <v>14.79</v>
      </c>
      <c r="BD84" s="7" t="s">
        <v>68</v>
      </c>
      <c r="BE84" s="7">
        <v>4.8600000000000003</v>
      </c>
      <c r="BF84" s="7">
        <v>154.69</v>
      </c>
      <c r="BG84" s="7">
        <v>15.25</v>
      </c>
      <c r="BH84" s="7" t="s">
        <v>68</v>
      </c>
      <c r="BI84" s="7">
        <v>23.27</v>
      </c>
      <c r="BJ84" s="7" t="s">
        <v>68</v>
      </c>
      <c r="BK84" s="7">
        <v>3.4</v>
      </c>
      <c r="BL84" s="7" t="s">
        <v>68</v>
      </c>
      <c r="BM84" s="7">
        <v>5.22</v>
      </c>
      <c r="BN84" s="7">
        <v>23.78</v>
      </c>
      <c r="BO84" s="7">
        <v>2.92</v>
      </c>
      <c r="BP84" s="7">
        <v>13.5</v>
      </c>
      <c r="BQ84" s="7">
        <v>2.08</v>
      </c>
      <c r="BR84" s="7" t="s">
        <v>68</v>
      </c>
      <c r="BS84" s="7">
        <v>4.84</v>
      </c>
    </row>
    <row r="85" spans="1:71">
      <c r="A85" s="7">
        <v>83</v>
      </c>
      <c r="B85" s="7">
        <f t="shared" si="1"/>
        <v>363.75</v>
      </c>
      <c r="C85" s="9" t="s">
        <v>154</v>
      </c>
      <c r="D85" s="7">
        <v>21811.52</v>
      </c>
      <c r="E85" s="7">
        <v>199.02</v>
      </c>
      <c r="F85" s="7" t="s">
        <v>68</v>
      </c>
      <c r="G85" s="7">
        <v>396.61</v>
      </c>
      <c r="H85" s="7">
        <v>21950.43</v>
      </c>
      <c r="I85" s="7">
        <v>485.56</v>
      </c>
      <c r="J85" s="7">
        <v>643.49</v>
      </c>
      <c r="K85" s="7">
        <v>107.72</v>
      </c>
      <c r="L85" s="7">
        <v>33.33</v>
      </c>
      <c r="M85" s="7">
        <v>10.58</v>
      </c>
      <c r="N85" s="7">
        <v>4659.2299999999996</v>
      </c>
      <c r="O85" s="7">
        <v>58.05</v>
      </c>
      <c r="P85" s="7">
        <v>145.12</v>
      </c>
      <c r="Q85" s="7">
        <v>15.11</v>
      </c>
      <c r="R85" s="7">
        <v>63.18</v>
      </c>
      <c r="S85" s="7">
        <v>7.89</v>
      </c>
      <c r="T85" s="7">
        <v>75.680000000000007</v>
      </c>
      <c r="U85" s="7">
        <v>24.74</v>
      </c>
      <c r="V85" s="7">
        <v>28680.04</v>
      </c>
      <c r="W85" s="7">
        <v>152.72999999999999</v>
      </c>
      <c r="X85" s="7" t="s">
        <v>68</v>
      </c>
      <c r="Y85" s="7">
        <v>83.39</v>
      </c>
      <c r="Z85" s="7">
        <v>23.7</v>
      </c>
      <c r="AA85" s="7">
        <v>12.66</v>
      </c>
      <c r="AB85" s="7">
        <v>13.41</v>
      </c>
      <c r="AC85" s="7">
        <v>7.47</v>
      </c>
      <c r="AD85" s="7">
        <v>75.34</v>
      </c>
      <c r="AE85" s="7">
        <v>5.5</v>
      </c>
      <c r="AF85" s="7">
        <v>24.09</v>
      </c>
      <c r="AG85" s="7">
        <v>2.8</v>
      </c>
      <c r="AH85" s="7" t="s">
        <v>68</v>
      </c>
      <c r="AI85" s="7">
        <v>2.19</v>
      </c>
      <c r="AJ85" s="7">
        <v>142.68</v>
      </c>
      <c r="AK85" s="7">
        <v>2.8</v>
      </c>
      <c r="AL85" s="7">
        <v>114.22</v>
      </c>
      <c r="AM85" s="7">
        <v>2.23</v>
      </c>
      <c r="AN85" s="7">
        <v>223.24</v>
      </c>
      <c r="AO85" s="7">
        <v>3.06</v>
      </c>
      <c r="AP85" s="7">
        <v>18.78</v>
      </c>
      <c r="AQ85" s="7">
        <v>1.76</v>
      </c>
      <c r="AR85" s="7" t="s">
        <v>68</v>
      </c>
      <c r="AS85" s="7">
        <v>4.67</v>
      </c>
      <c r="AT85" s="7" t="s">
        <v>68</v>
      </c>
      <c r="AU85" s="7">
        <v>4.29</v>
      </c>
      <c r="AV85" s="7" t="s">
        <v>68</v>
      </c>
      <c r="AW85" s="7">
        <v>6.26</v>
      </c>
      <c r="AX85" s="7" t="s">
        <v>68</v>
      </c>
      <c r="AY85" s="7">
        <v>4.6900000000000004</v>
      </c>
      <c r="AZ85" s="7" t="s">
        <v>68</v>
      </c>
      <c r="BA85" s="7">
        <v>7.1</v>
      </c>
      <c r="BB85" s="7" t="s">
        <v>68</v>
      </c>
      <c r="BC85" s="7">
        <v>14.38</v>
      </c>
      <c r="BD85" s="7" t="s">
        <v>68</v>
      </c>
      <c r="BE85" s="7">
        <v>4.74</v>
      </c>
      <c r="BF85" s="7">
        <v>135.29</v>
      </c>
      <c r="BG85" s="7">
        <v>14.9</v>
      </c>
      <c r="BH85" s="7" t="s">
        <v>68</v>
      </c>
      <c r="BI85" s="7">
        <v>22.85</v>
      </c>
      <c r="BJ85" s="7">
        <v>3.66</v>
      </c>
      <c r="BK85" s="7">
        <v>2.25</v>
      </c>
      <c r="BL85" s="7" t="s">
        <v>68</v>
      </c>
      <c r="BM85" s="7">
        <v>5.15</v>
      </c>
      <c r="BN85" s="7">
        <v>25.25</v>
      </c>
      <c r="BO85" s="7">
        <v>2.89</v>
      </c>
      <c r="BP85" s="7">
        <v>11.94</v>
      </c>
      <c r="BQ85" s="7">
        <v>1.98</v>
      </c>
      <c r="BR85" s="7" t="s">
        <v>68</v>
      </c>
      <c r="BS85" s="7">
        <v>4.7</v>
      </c>
    </row>
    <row r="86" spans="1:71">
      <c r="A86" s="7">
        <v>84</v>
      </c>
      <c r="B86" s="7">
        <f t="shared" si="1"/>
        <v>343.75</v>
      </c>
      <c r="C86" s="9" t="s">
        <v>155</v>
      </c>
      <c r="D86" s="7">
        <v>22683.43</v>
      </c>
      <c r="E86" s="7">
        <v>202.92</v>
      </c>
      <c r="F86" s="7" t="s">
        <v>68</v>
      </c>
      <c r="G86" s="7">
        <v>409.64</v>
      </c>
      <c r="H86" s="7">
        <v>20198.830000000002</v>
      </c>
      <c r="I86" s="7">
        <v>466.89</v>
      </c>
      <c r="J86" s="7">
        <v>717.95</v>
      </c>
      <c r="K86" s="7">
        <v>107.15</v>
      </c>
      <c r="L86" s="7">
        <v>23.9</v>
      </c>
      <c r="M86" s="7">
        <v>10.34</v>
      </c>
      <c r="N86" s="7">
        <v>4845.95</v>
      </c>
      <c r="O86" s="7">
        <v>58.96</v>
      </c>
      <c r="P86" s="7">
        <v>155.94</v>
      </c>
      <c r="Q86" s="7">
        <v>15.36</v>
      </c>
      <c r="R86" s="7">
        <v>67.739999999999995</v>
      </c>
      <c r="S86" s="7">
        <v>7.97</v>
      </c>
      <c r="T86" s="7">
        <v>81.37</v>
      </c>
      <c r="U86" s="7">
        <v>25.02</v>
      </c>
      <c r="V86" s="7">
        <v>28503.11</v>
      </c>
      <c r="W86" s="7">
        <v>153.58000000000001</v>
      </c>
      <c r="X86" s="7" t="s">
        <v>68</v>
      </c>
      <c r="Y86" s="7">
        <v>83.93</v>
      </c>
      <c r="Z86" s="7">
        <v>32.35</v>
      </c>
      <c r="AA86" s="7">
        <v>12.9</v>
      </c>
      <c r="AB86" s="7" t="s">
        <v>68</v>
      </c>
      <c r="AC86" s="7">
        <v>11.24</v>
      </c>
      <c r="AD86" s="7">
        <v>76.52</v>
      </c>
      <c r="AE86" s="7">
        <v>5.56</v>
      </c>
      <c r="AF86" s="7">
        <v>27.81</v>
      </c>
      <c r="AG86" s="7">
        <v>2.91</v>
      </c>
      <c r="AH86" s="7" t="s">
        <v>68</v>
      </c>
      <c r="AI86" s="7">
        <v>2.23</v>
      </c>
      <c r="AJ86" s="7">
        <v>150.11000000000001</v>
      </c>
      <c r="AK86" s="7">
        <v>2.9</v>
      </c>
      <c r="AL86" s="7">
        <v>124</v>
      </c>
      <c r="AM86" s="7">
        <v>2.33</v>
      </c>
      <c r="AN86" s="7">
        <v>222.2</v>
      </c>
      <c r="AO86" s="7">
        <v>3.09</v>
      </c>
      <c r="AP86" s="7">
        <v>16.010000000000002</v>
      </c>
      <c r="AQ86" s="7">
        <v>1.75</v>
      </c>
      <c r="AR86" s="7" t="s">
        <v>68</v>
      </c>
      <c r="AS86" s="7">
        <v>4.7</v>
      </c>
      <c r="AT86" s="7" t="s">
        <v>68</v>
      </c>
      <c r="AU86" s="7">
        <v>4.4000000000000004</v>
      </c>
      <c r="AV86" s="7" t="s">
        <v>68</v>
      </c>
      <c r="AW86" s="7">
        <v>6.34</v>
      </c>
      <c r="AX86" s="7" t="s">
        <v>68</v>
      </c>
      <c r="AY86" s="7">
        <v>4.71</v>
      </c>
      <c r="AZ86" s="7" t="s">
        <v>68</v>
      </c>
      <c r="BA86" s="7">
        <v>7.16</v>
      </c>
      <c r="BB86" s="7" t="s">
        <v>68</v>
      </c>
      <c r="BC86" s="7">
        <v>14.43</v>
      </c>
      <c r="BD86" s="7" t="s">
        <v>68</v>
      </c>
      <c r="BE86" s="7">
        <v>4.7699999999999996</v>
      </c>
      <c r="BF86" s="7">
        <v>151.9</v>
      </c>
      <c r="BG86" s="7">
        <v>14.99</v>
      </c>
      <c r="BH86" s="7" t="s">
        <v>68</v>
      </c>
      <c r="BI86" s="7">
        <v>22.87</v>
      </c>
      <c r="BJ86" s="7" t="s">
        <v>68</v>
      </c>
      <c r="BK86" s="7">
        <v>3.35</v>
      </c>
      <c r="BL86" s="7" t="s">
        <v>68</v>
      </c>
      <c r="BM86" s="7">
        <v>5.1100000000000003</v>
      </c>
      <c r="BN86" s="7">
        <v>25.64</v>
      </c>
      <c r="BO86" s="7">
        <v>2.94</v>
      </c>
      <c r="BP86" s="7">
        <v>15.22</v>
      </c>
      <c r="BQ86" s="7">
        <v>2.09</v>
      </c>
      <c r="BR86" s="7" t="s">
        <v>68</v>
      </c>
      <c r="BS86" s="7">
        <v>4.8600000000000003</v>
      </c>
    </row>
    <row r="87" spans="1:71">
      <c r="A87" s="7">
        <v>85</v>
      </c>
      <c r="B87" s="7">
        <f t="shared" si="1"/>
        <v>323.75</v>
      </c>
      <c r="C87" s="9" t="s">
        <v>156</v>
      </c>
      <c r="D87" s="7">
        <v>22680.48</v>
      </c>
      <c r="E87" s="7">
        <v>201.69</v>
      </c>
      <c r="F87" s="7" t="s">
        <v>68</v>
      </c>
      <c r="G87" s="7">
        <v>404.38</v>
      </c>
      <c r="H87" s="7">
        <v>19984.27</v>
      </c>
      <c r="I87" s="7">
        <v>461.71</v>
      </c>
      <c r="J87" s="7">
        <v>600.16999999999996</v>
      </c>
      <c r="K87" s="7">
        <v>108.27</v>
      </c>
      <c r="L87" s="7">
        <v>30.7</v>
      </c>
      <c r="M87" s="7">
        <v>10.49</v>
      </c>
      <c r="N87" s="7">
        <v>4909.05</v>
      </c>
      <c r="O87" s="7">
        <v>59.21</v>
      </c>
      <c r="P87" s="7">
        <v>161.13999999999999</v>
      </c>
      <c r="Q87" s="7">
        <v>15.47</v>
      </c>
      <c r="R87" s="7">
        <v>70.3</v>
      </c>
      <c r="S87" s="7">
        <v>7.99</v>
      </c>
      <c r="T87" s="7">
        <v>115.18</v>
      </c>
      <c r="U87" s="7">
        <v>25.54</v>
      </c>
      <c r="V87" s="7">
        <v>27526.74</v>
      </c>
      <c r="W87" s="7">
        <v>149.84</v>
      </c>
      <c r="X87" s="7" t="s">
        <v>68</v>
      </c>
      <c r="Y87" s="7">
        <v>81.84</v>
      </c>
      <c r="Z87" s="7">
        <v>41.12</v>
      </c>
      <c r="AA87" s="7">
        <v>12.85</v>
      </c>
      <c r="AB87" s="7">
        <v>12.83</v>
      </c>
      <c r="AC87" s="7">
        <v>7.46</v>
      </c>
      <c r="AD87" s="7">
        <v>78.98</v>
      </c>
      <c r="AE87" s="7">
        <v>5.56</v>
      </c>
      <c r="AF87" s="7">
        <v>30.33</v>
      </c>
      <c r="AG87" s="7">
        <v>2.99</v>
      </c>
      <c r="AH87" s="7" t="s">
        <v>68</v>
      </c>
      <c r="AI87" s="7">
        <v>2.21</v>
      </c>
      <c r="AJ87" s="7">
        <v>148.13999999999999</v>
      </c>
      <c r="AK87" s="7">
        <v>2.86</v>
      </c>
      <c r="AL87" s="7">
        <v>119.7</v>
      </c>
      <c r="AM87" s="7">
        <v>2.2799999999999998</v>
      </c>
      <c r="AN87" s="7">
        <v>234.78</v>
      </c>
      <c r="AO87" s="7">
        <v>3.13</v>
      </c>
      <c r="AP87" s="7">
        <v>12.87</v>
      </c>
      <c r="AQ87" s="7">
        <v>1.72</v>
      </c>
      <c r="AR87" s="7" t="s">
        <v>68</v>
      </c>
      <c r="AS87" s="7">
        <v>4.6500000000000004</v>
      </c>
      <c r="AT87" s="7" t="s">
        <v>68</v>
      </c>
      <c r="AU87" s="7">
        <v>4.38</v>
      </c>
      <c r="AV87" s="7" t="s">
        <v>68</v>
      </c>
      <c r="AW87" s="7">
        <v>6.39</v>
      </c>
      <c r="AX87" s="7" t="s">
        <v>68</v>
      </c>
      <c r="AY87" s="7">
        <v>4.71</v>
      </c>
      <c r="AZ87" s="7" t="s">
        <v>68</v>
      </c>
      <c r="BA87" s="7">
        <v>7.13</v>
      </c>
      <c r="BB87" s="7" t="s">
        <v>68</v>
      </c>
      <c r="BC87" s="7">
        <v>14.51</v>
      </c>
      <c r="BD87" s="7" t="s">
        <v>68</v>
      </c>
      <c r="BE87" s="7">
        <v>4.7699999999999996</v>
      </c>
      <c r="BF87" s="7">
        <v>178.8</v>
      </c>
      <c r="BG87" s="7">
        <v>15.06</v>
      </c>
      <c r="BH87" s="7" t="s">
        <v>68</v>
      </c>
      <c r="BI87" s="7">
        <v>22.4</v>
      </c>
      <c r="BJ87" s="7">
        <v>3.57</v>
      </c>
      <c r="BK87" s="7">
        <v>2.2599999999999998</v>
      </c>
      <c r="BL87" s="7">
        <v>5.41</v>
      </c>
      <c r="BM87" s="7">
        <v>3.4</v>
      </c>
      <c r="BN87" s="7">
        <v>28.9</v>
      </c>
      <c r="BO87" s="7">
        <v>3.02</v>
      </c>
      <c r="BP87" s="7">
        <v>12.18</v>
      </c>
      <c r="BQ87" s="7">
        <v>2</v>
      </c>
      <c r="BR87" s="7">
        <v>5.21</v>
      </c>
      <c r="BS87" s="7">
        <v>3.24</v>
      </c>
    </row>
    <row r="88" spans="1:71">
      <c r="A88" s="7">
        <v>86</v>
      </c>
      <c r="B88" s="7">
        <f t="shared" si="1"/>
        <v>303.75</v>
      </c>
      <c r="C88" s="9" t="s">
        <v>157</v>
      </c>
      <c r="D88" s="7">
        <v>22923.63</v>
      </c>
      <c r="E88" s="7">
        <v>201.49</v>
      </c>
      <c r="F88" s="7" t="s">
        <v>68</v>
      </c>
      <c r="G88" s="7">
        <v>367.35</v>
      </c>
      <c r="H88" s="7">
        <v>17906.27</v>
      </c>
      <c r="I88" s="7">
        <v>435.52</v>
      </c>
      <c r="J88" s="7">
        <v>339.53</v>
      </c>
      <c r="K88" s="7">
        <v>109.1</v>
      </c>
      <c r="L88" s="7">
        <v>22.76</v>
      </c>
      <c r="M88" s="7">
        <v>10.16</v>
      </c>
      <c r="N88" s="7">
        <v>5059.59</v>
      </c>
      <c r="O88" s="7">
        <v>59.37</v>
      </c>
      <c r="P88" s="7">
        <v>146.59</v>
      </c>
      <c r="Q88" s="7">
        <v>15.31</v>
      </c>
      <c r="R88" s="7">
        <v>71.27</v>
      </c>
      <c r="S88" s="7">
        <v>7.92</v>
      </c>
      <c r="T88" s="7">
        <v>105.5</v>
      </c>
      <c r="U88" s="7">
        <v>25.62</v>
      </c>
      <c r="V88" s="7">
        <v>26725.87</v>
      </c>
      <c r="W88" s="7">
        <v>148.61000000000001</v>
      </c>
      <c r="X88" s="7" t="s">
        <v>68</v>
      </c>
      <c r="Y88" s="7">
        <v>81.47</v>
      </c>
      <c r="Z88" s="7">
        <v>38.94</v>
      </c>
      <c r="AA88" s="7">
        <v>12.91</v>
      </c>
      <c r="AB88" s="7">
        <v>14.91</v>
      </c>
      <c r="AC88" s="7">
        <v>7.55</v>
      </c>
      <c r="AD88" s="7">
        <v>78.53</v>
      </c>
      <c r="AE88" s="7">
        <v>5.61</v>
      </c>
      <c r="AF88" s="7">
        <v>30.93</v>
      </c>
      <c r="AG88" s="7">
        <v>2.98</v>
      </c>
      <c r="AH88" s="7" t="s">
        <v>68</v>
      </c>
      <c r="AI88" s="7">
        <v>2.27</v>
      </c>
      <c r="AJ88" s="7">
        <v>146.83000000000001</v>
      </c>
      <c r="AK88" s="7">
        <v>2.87</v>
      </c>
      <c r="AL88" s="7">
        <v>114.25</v>
      </c>
      <c r="AM88" s="7">
        <v>2.25</v>
      </c>
      <c r="AN88" s="7">
        <v>243.01</v>
      </c>
      <c r="AO88" s="7">
        <v>3.19</v>
      </c>
      <c r="AP88" s="7">
        <v>12.7</v>
      </c>
      <c r="AQ88" s="7">
        <v>1.74</v>
      </c>
      <c r="AR88" s="7" t="s">
        <v>68</v>
      </c>
      <c r="AS88" s="7">
        <v>4.58</v>
      </c>
      <c r="AT88" s="7" t="s">
        <v>68</v>
      </c>
      <c r="AU88" s="7">
        <v>4.32</v>
      </c>
      <c r="AV88" s="7" t="s">
        <v>68</v>
      </c>
      <c r="AW88" s="7">
        <v>6.32</v>
      </c>
      <c r="AX88" s="7" t="s">
        <v>68</v>
      </c>
      <c r="AY88" s="7">
        <v>4.68</v>
      </c>
      <c r="AZ88" s="7" t="s">
        <v>68</v>
      </c>
      <c r="BA88" s="7">
        <v>7.12</v>
      </c>
      <c r="BB88" s="7" t="s">
        <v>68</v>
      </c>
      <c r="BC88" s="7">
        <v>14.39</v>
      </c>
      <c r="BD88" s="7">
        <v>10.11</v>
      </c>
      <c r="BE88" s="7">
        <v>3.18</v>
      </c>
      <c r="BF88" s="7">
        <v>202.22</v>
      </c>
      <c r="BG88" s="7">
        <v>15.07</v>
      </c>
      <c r="BH88" s="7" t="s">
        <v>68</v>
      </c>
      <c r="BI88" s="7">
        <v>22.92</v>
      </c>
      <c r="BJ88" s="7" t="s">
        <v>68</v>
      </c>
      <c r="BK88" s="7">
        <v>3.38</v>
      </c>
      <c r="BL88" s="7">
        <v>6.77</v>
      </c>
      <c r="BM88" s="7">
        <v>3.5</v>
      </c>
      <c r="BN88" s="7">
        <v>26.56</v>
      </c>
      <c r="BO88" s="7">
        <v>2.97</v>
      </c>
      <c r="BP88" s="7">
        <v>13.58</v>
      </c>
      <c r="BQ88" s="7">
        <v>2.04</v>
      </c>
      <c r="BR88" s="7">
        <v>5.53</v>
      </c>
      <c r="BS88" s="7">
        <v>3.26</v>
      </c>
    </row>
    <row r="89" spans="1:71">
      <c r="A89" s="7">
        <v>87</v>
      </c>
      <c r="B89" s="7">
        <f t="shared" si="1"/>
        <v>283.75</v>
      </c>
      <c r="C89" s="9" t="s">
        <v>158</v>
      </c>
      <c r="D89" s="7">
        <v>23459.75</v>
      </c>
      <c r="E89" s="7">
        <v>199.99</v>
      </c>
      <c r="F89" s="7" t="s">
        <v>68</v>
      </c>
      <c r="G89" s="7">
        <v>383.57</v>
      </c>
      <c r="H89" s="7">
        <v>15380.78</v>
      </c>
      <c r="I89" s="7">
        <v>397.56</v>
      </c>
      <c r="J89" s="7">
        <v>438.36</v>
      </c>
      <c r="K89" s="7">
        <v>106.95</v>
      </c>
      <c r="L89" s="7">
        <v>27.09</v>
      </c>
      <c r="M89" s="7">
        <v>9.99</v>
      </c>
      <c r="N89" s="7">
        <v>5111.9399999999996</v>
      </c>
      <c r="O89" s="7">
        <v>58.78</v>
      </c>
      <c r="P89" s="7">
        <v>163.24</v>
      </c>
      <c r="Q89" s="7">
        <v>15.3</v>
      </c>
      <c r="R89" s="7">
        <v>60.48</v>
      </c>
      <c r="S89" s="7">
        <v>7.72</v>
      </c>
      <c r="T89" s="7">
        <v>89.66</v>
      </c>
      <c r="U89" s="7">
        <v>24.54</v>
      </c>
      <c r="V89" s="7">
        <v>22884.01</v>
      </c>
      <c r="W89" s="7">
        <v>136.1</v>
      </c>
      <c r="X89" s="7" t="s">
        <v>68</v>
      </c>
      <c r="Y89" s="7">
        <v>74.36</v>
      </c>
      <c r="Z89" s="7">
        <v>33.33</v>
      </c>
      <c r="AA89" s="7">
        <v>12.55</v>
      </c>
      <c r="AB89" s="7">
        <v>12.83</v>
      </c>
      <c r="AC89" s="7">
        <v>7.36</v>
      </c>
      <c r="AD89" s="7">
        <v>66.930000000000007</v>
      </c>
      <c r="AE89" s="7">
        <v>5.28</v>
      </c>
      <c r="AF89" s="7">
        <v>25.49</v>
      </c>
      <c r="AG89" s="7">
        <v>2.84</v>
      </c>
      <c r="AH89" s="7" t="s">
        <v>68</v>
      </c>
      <c r="AI89" s="7">
        <v>2.16</v>
      </c>
      <c r="AJ89" s="7">
        <v>152.26</v>
      </c>
      <c r="AK89" s="7">
        <v>2.87</v>
      </c>
      <c r="AL89" s="7">
        <v>116.43</v>
      </c>
      <c r="AM89" s="7">
        <v>2.2400000000000002</v>
      </c>
      <c r="AN89" s="7">
        <v>242.24</v>
      </c>
      <c r="AO89" s="7">
        <v>3.15</v>
      </c>
      <c r="AP89" s="7">
        <v>11.91</v>
      </c>
      <c r="AQ89" s="7">
        <v>1.71</v>
      </c>
      <c r="AR89" s="7" t="s">
        <v>68</v>
      </c>
      <c r="AS89" s="7">
        <v>4.63</v>
      </c>
      <c r="AT89" s="7" t="s">
        <v>68</v>
      </c>
      <c r="AU89" s="7">
        <v>4.28</v>
      </c>
      <c r="AV89" s="7" t="s">
        <v>68</v>
      </c>
      <c r="AW89" s="7">
        <v>6.22</v>
      </c>
      <c r="AX89" s="7" t="s">
        <v>68</v>
      </c>
      <c r="AY89" s="7">
        <v>4.6100000000000003</v>
      </c>
      <c r="AZ89" s="7" t="s">
        <v>68</v>
      </c>
      <c r="BA89" s="7">
        <v>6.98</v>
      </c>
      <c r="BB89" s="7" t="s">
        <v>68</v>
      </c>
      <c r="BC89" s="7">
        <v>14.23</v>
      </c>
      <c r="BD89" s="7">
        <v>6.34</v>
      </c>
      <c r="BE89" s="7">
        <v>3.13</v>
      </c>
      <c r="BF89" s="7">
        <v>176.36</v>
      </c>
      <c r="BG89" s="7">
        <v>14.77</v>
      </c>
      <c r="BH89" s="7" t="s">
        <v>68</v>
      </c>
      <c r="BI89" s="7">
        <v>22.55</v>
      </c>
      <c r="BJ89" s="7" t="s">
        <v>68</v>
      </c>
      <c r="BK89" s="7">
        <v>3.21</v>
      </c>
      <c r="BL89" s="7" t="s">
        <v>68</v>
      </c>
      <c r="BM89" s="7">
        <v>5.08</v>
      </c>
      <c r="BN89" s="7">
        <v>26.39</v>
      </c>
      <c r="BO89" s="7">
        <v>2.92</v>
      </c>
      <c r="BP89" s="7">
        <v>13.01</v>
      </c>
      <c r="BQ89" s="7">
        <v>2</v>
      </c>
      <c r="BR89" s="7" t="s">
        <v>68</v>
      </c>
      <c r="BS89" s="7">
        <v>4.76</v>
      </c>
    </row>
    <row r="90" spans="1:71">
      <c r="A90" s="7">
        <v>88</v>
      </c>
      <c r="B90" s="7">
        <f t="shared" si="1"/>
        <v>263.75</v>
      </c>
      <c r="C90" s="9" t="s">
        <v>159</v>
      </c>
      <c r="D90" s="7">
        <v>24346.37</v>
      </c>
      <c r="E90" s="7">
        <v>205.27</v>
      </c>
      <c r="F90" s="7" t="s">
        <v>68</v>
      </c>
      <c r="G90" s="7">
        <v>379.48</v>
      </c>
      <c r="H90" s="7">
        <v>16378.47</v>
      </c>
      <c r="I90" s="7">
        <v>412.89</v>
      </c>
      <c r="J90" s="7">
        <v>660.04</v>
      </c>
      <c r="K90" s="7">
        <v>105.92</v>
      </c>
      <c r="L90" s="7">
        <v>23.85</v>
      </c>
      <c r="M90" s="7">
        <v>10.039999999999999</v>
      </c>
      <c r="N90" s="7">
        <v>5062.7700000000004</v>
      </c>
      <c r="O90" s="7">
        <v>58.74</v>
      </c>
      <c r="P90" s="7">
        <v>153.4</v>
      </c>
      <c r="Q90" s="7">
        <v>15.2</v>
      </c>
      <c r="R90" s="7">
        <v>76.489999999999995</v>
      </c>
      <c r="S90" s="7">
        <v>7.88</v>
      </c>
      <c r="T90" s="7">
        <v>98.98</v>
      </c>
      <c r="U90" s="7">
        <v>24.88</v>
      </c>
      <c r="V90" s="7">
        <v>24579.48</v>
      </c>
      <c r="W90" s="7">
        <v>140.27000000000001</v>
      </c>
      <c r="X90" s="7" t="s">
        <v>68</v>
      </c>
      <c r="Y90" s="7">
        <v>76.62</v>
      </c>
      <c r="Z90" s="7">
        <v>41.23</v>
      </c>
      <c r="AA90" s="7">
        <v>12.66</v>
      </c>
      <c r="AB90" s="7">
        <v>13.06</v>
      </c>
      <c r="AC90" s="7">
        <v>7.38</v>
      </c>
      <c r="AD90" s="7">
        <v>74.61</v>
      </c>
      <c r="AE90" s="7">
        <v>5.42</v>
      </c>
      <c r="AF90" s="7">
        <v>31.9</v>
      </c>
      <c r="AG90" s="7">
        <v>2.99</v>
      </c>
      <c r="AH90" s="7" t="s">
        <v>68</v>
      </c>
      <c r="AI90" s="7">
        <v>2.15</v>
      </c>
      <c r="AJ90" s="7">
        <v>162.02000000000001</v>
      </c>
      <c r="AK90" s="7">
        <v>2.95</v>
      </c>
      <c r="AL90" s="7">
        <v>120.72</v>
      </c>
      <c r="AM90" s="7">
        <v>2.27</v>
      </c>
      <c r="AN90" s="7">
        <v>222.62</v>
      </c>
      <c r="AO90" s="7">
        <v>3.04</v>
      </c>
      <c r="AP90" s="7">
        <v>12.76</v>
      </c>
      <c r="AQ90" s="7">
        <v>1.7</v>
      </c>
      <c r="AR90" s="7" t="s">
        <v>68</v>
      </c>
      <c r="AS90" s="7">
        <v>4.53</v>
      </c>
      <c r="AT90" s="7" t="s">
        <v>68</v>
      </c>
      <c r="AU90" s="7">
        <v>4.2699999999999996</v>
      </c>
      <c r="AV90" s="7" t="s">
        <v>68</v>
      </c>
      <c r="AW90" s="7">
        <v>6.08</v>
      </c>
      <c r="AX90" s="7" t="s">
        <v>68</v>
      </c>
      <c r="AY90" s="7">
        <v>4.59</v>
      </c>
      <c r="AZ90" s="7" t="s">
        <v>68</v>
      </c>
      <c r="BA90" s="7">
        <v>7.03</v>
      </c>
      <c r="BB90" s="7" t="s">
        <v>68</v>
      </c>
      <c r="BC90" s="7">
        <v>14.19</v>
      </c>
      <c r="BD90" s="7" t="s">
        <v>68</v>
      </c>
      <c r="BE90" s="7">
        <v>4.67</v>
      </c>
      <c r="BF90" s="7">
        <v>161.56</v>
      </c>
      <c r="BG90" s="7">
        <v>14.76</v>
      </c>
      <c r="BH90" s="7" t="s">
        <v>68</v>
      </c>
      <c r="BI90" s="7">
        <v>22.49</v>
      </c>
      <c r="BJ90" s="7" t="s">
        <v>68</v>
      </c>
      <c r="BK90" s="7">
        <v>3.3</v>
      </c>
      <c r="BL90" s="7" t="s">
        <v>68</v>
      </c>
      <c r="BM90" s="7">
        <v>5</v>
      </c>
      <c r="BN90" s="7">
        <v>28.78</v>
      </c>
      <c r="BO90" s="7">
        <v>2.99</v>
      </c>
      <c r="BP90" s="7">
        <v>15.56</v>
      </c>
      <c r="BQ90" s="7">
        <v>2.0699999999999998</v>
      </c>
      <c r="BR90" s="7" t="s">
        <v>68</v>
      </c>
      <c r="BS90" s="7">
        <v>4.92</v>
      </c>
    </row>
    <row r="91" spans="1:71">
      <c r="A91" s="7">
        <v>89</v>
      </c>
      <c r="B91" s="7">
        <f t="shared" si="1"/>
        <v>243.75</v>
      </c>
      <c r="C91" s="9" t="s">
        <v>160</v>
      </c>
      <c r="D91" s="7">
        <v>23841.05</v>
      </c>
      <c r="E91" s="7">
        <v>207.75</v>
      </c>
      <c r="F91" s="7" t="s">
        <v>68</v>
      </c>
      <c r="G91" s="7">
        <v>409.26</v>
      </c>
      <c r="H91" s="7">
        <v>17989.73</v>
      </c>
      <c r="I91" s="7">
        <v>441.76</v>
      </c>
      <c r="J91" s="7">
        <v>535.49</v>
      </c>
      <c r="K91" s="7">
        <v>108.02</v>
      </c>
      <c r="L91" s="7">
        <v>18.649999999999999</v>
      </c>
      <c r="M91" s="7">
        <v>10.119999999999999</v>
      </c>
      <c r="N91" s="7">
        <v>5213.8500000000004</v>
      </c>
      <c r="O91" s="7">
        <v>60.87</v>
      </c>
      <c r="P91" s="7">
        <v>149.25</v>
      </c>
      <c r="Q91" s="7">
        <v>15.67</v>
      </c>
      <c r="R91" s="7">
        <v>74.69</v>
      </c>
      <c r="S91" s="7">
        <v>8.06</v>
      </c>
      <c r="T91" s="7">
        <v>87.87</v>
      </c>
      <c r="U91" s="7">
        <v>25.11</v>
      </c>
      <c r="V91" s="7">
        <v>28259.94</v>
      </c>
      <c r="W91" s="7">
        <v>152.57</v>
      </c>
      <c r="X91" s="7" t="s">
        <v>68</v>
      </c>
      <c r="Y91" s="7">
        <v>83.53</v>
      </c>
      <c r="Z91" s="7">
        <v>34.89</v>
      </c>
      <c r="AA91" s="7">
        <v>12.86</v>
      </c>
      <c r="AB91" s="7">
        <v>15.56</v>
      </c>
      <c r="AC91" s="7">
        <v>7.55</v>
      </c>
      <c r="AD91" s="7">
        <v>84.29</v>
      </c>
      <c r="AE91" s="7">
        <v>5.72</v>
      </c>
      <c r="AF91" s="7">
        <v>35.04</v>
      </c>
      <c r="AG91" s="7">
        <v>3.09</v>
      </c>
      <c r="AH91" s="7" t="s">
        <v>68</v>
      </c>
      <c r="AI91" s="7">
        <v>2.2000000000000002</v>
      </c>
      <c r="AJ91" s="7">
        <v>157.18</v>
      </c>
      <c r="AK91" s="7">
        <v>2.96</v>
      </c>
      <c r="AL91" s="7">
        <v>119.63</v>
      </c>
      <c r="AM91" s="7">
        <v>2.29</v>
      </c>
      <c r="AN91" s="7">
        <v>228.11</v>
      </c>
      <c r="AO91" s="7">
        <v>3.11</v>
      </c>
      <c r="AP91" s="7">
        <v>11.92</v>
      </c>
      <c r="AQ91" s="7">
        <v>1.72</v>
      </c>
      <c r="AR91" s="7" t="s">
        <v>68</v>
      </c>
      <c r="AS91" s="7">
        <v>4.6900000000000004</v>
      </c>
      <c r="AT91" s="7" t="s">
        <v>68</v>
      </c>
      <c r="AU91" s="7">
        <v>4.3499999999999996</v>
      </c>
      <c r="AV91" s="7" t="s">
        <v>68</v>
      </c>
      <c r="AW91" s="7">
        <v>6.33</v>
      </c>
      <c r="AX91" s="7" t="s">
        <v>68</v>
      </c>
      <c r="AY91" s="7">
        <v>4.7</v>
      </c>
      <c r="AZ91" s="7" t="s">
        <v>68</v>
      </c>
      <c r="BA91" s="7">
        <v>7.22</v>
      </c>
      <c r="BB91" s="7" t="s">
        <v>68</v>
      </c>
      <c r="BC91" s="7">
        <v>14.49</v>
      </c>
      <c r="BD91" s="7">
        <v>9.1999999999999993</v>
      </c>
      <c r="BE91" s="7">
        <v>3.19</v>
      </c>
      <c r="BF91" s="7">
        <v>202.89</v>
      </c>
      <c r="BG91" s="7">
        <v>15.17</v>
      </c>
      <c r="BH91" s="7" t="s">
        <v>68</v>
      </c>
      <c r="BI91" s="7">
        <v>22.76</v>
      </c>
      <c r="BJ91" s="7" t="s">
        <v>68</v>
      </c>
      <c r="BK91" s="7">
        <v>3.38</v>
      </c>
      <c r="BL91" s="7">
        <v>6.84</v>
      </c>
      <c r="BM91" s="7">
        <v>3.48</v>
      </c>
      <c r="BN91" s="7">
        <v>28.93</v>
      </c>
      <c r="BO91" s="7">
        <v>3.04</v>
      </c>
      <c r="BP91" s="7">
        <v>13.92</v>
      </c>
      <c r="BQ91" s="7">
        <v>2.0699999999999998</v>
      </c>
      <c r="BR91" s="7">
        <v>5.74</v>
      </c>
      <c r="BS91" s="7">
        <v>3.33</v>
      </c>
    </row>
    <row r="92" spans="1:71">
      <c r="A92" s="7">
        <v>90</v>
      </c>
      <c r="B92" s="7">
        <f t="shared" si="1"/>
        <v>223.75</v>
      </c>
      <c r="C92" s="9" t="s">
        <v>161</v>
      </c>
      <c r="D92" s="7">
        <v>24343.49</v>
      </c>
      <c r="E92" s="7">
        <v>214.58</v>
      </c>
      <c r="F92" s="7" t="s">
        <v>68</v>
      </c>
      <c r="G92" s="7">
        <v>408.6</v>
      </c>
      <c r="H92" s="7">
        <v>19152.97</v>
      </c>
      <c r="I92" s="7">
        <v>465.46</v>
      </c>
      <c r="J92" s="7">
        <v>361.15</v>
      </c>
      <c r="K92" s="7">
        <v>111.97</v>
      </c>
      <c r="L92" s="7">
        <v>20.22</v>
      </c>
      <c r="M92" s="7">
        <v>10.42</v>
      </c>
      <c r="N92" s="7">
        <v>5177.9399999999996</v>
      </c>
      <c r="O92" s="7">
        <v>62.15</v>
      </c>
      <c r="P92" s="7">
        <v>156.41999999999999</v>
      </c>
      <c r="Q92" s="7">
        <v>16.079999999999998</v>
      </c>
      <c r="R92" s="7">
        <v>76.489999999999995</v>
      </c>
      <c r="S92" s="7">
        <v>8.2799999999999994</v>
      </c>
      <c r="T92" s="7">
        <v>127.37</v>
      </c>
      <c r="U92" s="7">
        <v>26.58</v>
      </c>
      <c r="V92" s="7">
        <v>29914.37</v>
      </c>
      <c r="W92" s="7">
        <v>158.59</v>
      </c>
      <c r="X92" s="7" t="s">
        <v>68</v>
      </c>
      <c r="Y92" s="7">
        <v>86.72</v>
      </c>
      <c r="Z92" s="7">
        <v>47.24</v>
      </c>
      <c r="AA92" s="7">
        <v>13.22</v>
      </c>
      <c r="AB92" s="7">
        <v>17.39</v>
      </c>
      <c r="AC92" s="7">
        <v>7.72</v>
      </c>
      <c r="AD92" s="7">
        <v>86.27</v>
      </c>
      <c r="AE92" s="7">
        <v>5.83</v>
      </c>
      <c r="AF92" s="7">
        <v>33.32</v>
      </c>
      <c r="AG92" s="7">
        <v>3.08</v>
      </c>
      <c r="AH92" s="7" t="s">
        <v>68</v>
      </c>
      <c r="AI92" s="7">
        <v>2.23</v>
      </c>
      <c r="AJ92" s="7">
        <v>152.08000000000001</v>
      </c>
      <c r="AK92" s="7">
        <v>2.94</v>
      </c>
      <c r="AL92" s="7">
        <v>119.31</v>
      </c>
      <c r="AM92" s="7">
        <v>2.31</v>
      </c>
      <c r="AN92" s="7">
        <v>226.51</v>
      </c>
      <c r="AO92" s="7">
        <v>3.14</v>
      </c>
      <c r="AP92" s="7">
        <v>14.18</v>
      </c>
      <c r="AQ92" s="7">
        <v>1.76</v>
      </c>
      <c r="AR92" s="7" t="s">
        <v>68</v>
      </c>
      <c r="AS92" s="7">
        <v>4.75</v>
      </c>
      <c r="AT92" s="7" t="s">
        <v>68</v>
      </c>
      <c r="AU92" s="7">
        <v>4.38</v>
      </c>
      <c r="AV92" s="7" t="s">
        <v>68</v>
      </c>
      <c r="AW92" s="7">
        <v>6.42</v>
      </c>
      <c r="AX92" s="7" t="s">
        <v>68</v>
      </c>
      <c r="AY92" s="7">
        <v>4.7699999999999996</v>
      </c>
      <c r="AZ92" s="7" t="s">
        <v>68</v>
      </c>
      <c r="BA92" s="7">
        <v>7.2</v>
      </c>
      <c r="BB92" s="7" t="s">
        <v>68</v>
      </c>
      <c r="BC92" s="7">
        <v>14.72</v>
      </c>
      <c r="BD92" s="7">
        <v>14.78</v>
      </c>
      <c r="BE92" s="7">
        <v>3.24</v>
      </c>
      <c r="BF92" s="7">
        <v>240.93</v>
      </c>
      <c r="BG92" s="7">
        <v>15.5</v>
      </c>
      <c r="BH92" s="7" t="s">
        <v>68</v>
      </c>
      <c r="BI92" s="7">
        <v>23.22</v>
      </c>
      <c r="BJ92" s="7" t="s">
        <v>68</v>
      </c>
      <c r="BK92" s="7">
        <v>3.38</v>
      </c>
      <c r="BL92" s="7">
        <v>5.87</v>
      </c>
      <c r="BM92" s="7">
        <v>3.51</v>
      </c>
      <c r="BN92" s="7">
        <v>27.85</v>
      </c>
      <c r="BO92" s="7">
        <v>3.04</v>
      </c>
      <c r="BP92" s="7">
        <v>14.66</v>
      </c>
      <c r="BQ92" s="7">
        <v>2.1</v>
      </c>
      <c r="BR92" s="7" t="s">
        <v>68</v>
      </c>
      <c r="BS92" s="7">
        <v>4.95</v>
      </c>
    </row>
    <row r="93" spans="1:71">
      <c r="A93" s="7">
        <v>91</v>
      </c>
      <c r="B93" s="7">
        <f t="shared" si="1"/>
        <v>203.75</v>
      </c>
      <c r="C93" s="9" t="s">
        <v>162</v>
      </c>
      <c r="D93" s="7">
        <v>23382.83</v>
      </c>
      <c r="E93" s="7">
        <v>204.13</v>
      </c>
      <c r="F93" s="7" t="s">
        <v>68</v>
      </c>
      <c r="G93" s="7">
        <v>414.11</v>
      </c>
      <c r="H93" s="7">
        <v>17565.59</v>
      </c>
      <c r="I93" s="7">
        <v>433.22</v>
      </c>
      <c r="J93" s="7">
        <v>238.19</v>
      </c>
      <c r="K93" s="7">
        <v>108.94</v>
      </c>
      <c r="L93" s="7">
        <v>21.26</v>
      </c>
      <c r="M93" s="7">
        <v>10.07</v>
      </c>
      <c r="N93" s="7">
        <v>5138.41</v>
      </c>
      <c r="O93" s="7">
        <v>60.24</v>
      </c>
      <c r="P93" s="7">
        <v>155.33000000000001</v>
      </c>
      <c r="Q93" s="7">
        <v>15.59</v>
      </c>
      <c r="R93" s="7">
        <v>70.7</v>
      </c>
      <c r="S93" s="7">
        <v>7.94</v>
      </c>
      <c r="T93" s="7">
        <v>134.52000000000001</v>
      </c>
      <c r="U93" s="7">
        <v>26.54</v>
      </c>
      <c r="V93" s="7">
        <v>28117.07</v>
      </c>
      <c r="W93" s="7">
        <v>153.93</v>
      </c>
      <c r="X93" s="7">
        <v>110.7</v>
      </c>
      <c r="Y93" s="7">
        <v>56.39</v>
      </c>
      <c r="Z93" s="7">
        <v>51.88</v>
      </c>
      <c r="AA93" s="7">
        <v>13.3</v>
      </c>
      <c r="AB93" s="7" t="s">
        <v>68</v>
      </c>
      <c r="AC93" s="7">
        <v>11.38</v>
      </c>
      <c r="AD93" s="7">
        <v>78.819999999999993</v>
      </c>
      <c r="AE93" s="7">
        <v>5.68</v>
      </c>
      <c r="AF93" s="7">
        <v>31.65</v>
      </c>
      <c r="AG93" s="7">
        <v>3.04</v>
      </c>
      <c r="AH93" s="7" t="s">
        <v>68</v>
      </c>
      <c r="AI93" s="7">
        <v>2.23</v>
      </c>
      <c r="AJ93" s="7">
        <v>151.24</v>
      </c>
      <c r="AK93" s="7">
        <v>2.94</v>
      </c>
      <c r="AL93" s="7">
        <v>116.69</v>
      </c>
      <c r="AM93" s="7">
        <v>2.29</v>
      </c>
      <c r="AN93" s="7">
        <v>233.66</v>
      </c>
      <c r="AO93" s="7">
        <v>3.18</v>
      </c>
      <c r="AP93" s="7">
        <v>11.78</v>
      </c>
      <c r="AQ93" s="7">
        <v>1.74</v>
      </c>
      <c r="AR93" s="7" t="s">
        <v>68</v>
      </c>
      <c r="AS93" s="7">
        <v>4.5999999999999996</v>
      </c>
      <c r="AT93" s="7" t="s">
        <v>68</v>
      </c>
      <c r="AU93" s="7">
        <v>4.4400000000000004</v>
      </c>
      <c r="AV93" s="7" t="s">
        <v>68</v>
      </c>
      <c r="AW93" s="7">
        <v>6.37</v>
      </c>
      <c r="AX93" s="7" t="s">
        <v>68</v>
      </c>
      <c r="AY93" s="7">
        <v>4.7300000000000004</v>
      </c>
      <c r="AZ93" s="7" t="s">
        <v>68</v>
      </c>
      <c r="BA93" s="7">
        <v>7.2</v>
      </c>
      <c r="BB93" s="7" t="s">
        <v>68</v>
      </c>
      <c r="BC93" s="7">
        <v>14.64</v>
      </c>
      <c r="BD93" s="7">
        <v>15.63</v>
      </c>
      <c r="BE93" s="7">
        <v>3.23</v>
      </c>
      <c r="BF93" s="7">
        <v>232.03</v>
      </c>
      <c r="BG93" s="7">
        <v>15.4</v>
      </c>
      <c r="BH93" s="7" t="s">
        <v>68</v>
      </c>
      <c r="BI93" s="7">
        <v>23.45</v>
      </c>
      <c r="BJ93" s="7" t="s">
        <v>68</v>
      </c>
      <c r="BK93" s="7">
        <v>3.32</v>
      </c>
      <c r="BL93" s="7">
        <v>7.01</v>
      </c>
      <c r="BM93" s="7">
        <v>3.56</v>
      </c>
      <c r="BN93" s="7">
        <v>27.67</v>
      </c>
      <c r="BO93" s="7">
        <v>3.03</v>
      </c>
      <c r="BP93" s="7">
        <v>15.32</v>
      </c>
      <c r="BQ93" s="7">
        <v>2.12</v>
      </c>
      <c r="BR93" s="7">
        <v>5.05</v>
      </c>
      <c r="BS93" s="7">
        <v>3.31</v>
      </c>
    </row>
    <row r="94" spans="1:71">
      <c r="A94" s="7">
        <v>92</v>
      </c>
      <c r="B94" s="7">
        <f t="shared" si="1"/>
        <v>183.75</v>
      </c>
      <c r="C94" s="9" t="s">
        <v>163</v>
      </c>
      <c r="D94" s="7">
        <v>23741.91</v>
      </c>
      <c r="E94" s="7">
        <v>206.42</v>
      </c>
      <c r="F94" s="7" t="s">
        <v>68</v>
      </c>
      <c r="G94" s="7">
        <v>387.64</v>
      </c>
      <c r="H94" s="7">
        <v>17087.13</v>
      </c>
      <c r="I94" s="7">
        <v>429.11</v>
      </c>
      <c r="J94" s="7">
        <v>469.88</v>
      </c>
      <c r="K94" s="7">
        <v>109.11</v>
      </c>
      <c r="L94" s="7">
        <v>19.53</v>
      </c>
      <c r="M94" s="7">
        <v>10.19</v>
      </c>
      <c r="N94" s="7">
        <v>5176.58</v>
      </c>
      <c r="O94" s="7">
        <v>60.54</v>
      </c>
      <c r="P94" s="7">
        <v>166.83</v>
      </c>
      <c r="Q94" s="7">
        <v>15.74</v>
      </c>
      <c r="R94" s="7">
        <v>64.540000000000006</v>
      </c>
      <c r="S94" s="7">
        <v>7.94</v>
      </c>
      <c r="T94" s="7">
        <v>97.78</v>
      </c>
      <c r="U94" s="7">
        <v>25.46</v>
      </c>
      <c r="V94" s="7">
        <v>26752.84</v>
      </c>
      <c r="W94" s="7">
        <v>148.96</v>
      </c>
      <c r="X94" s="7" t="s">
        <v>68</v>
      </c>
      <c r="Y94" s="7">
        <v>81.64</v>
      </c>
      <c r="Z94" s="7">
        <v>44.38</v>
      </c>
      <c r="AA94" s="7">
        <v>13.03</v>
      </c>
      <c r="AB94" s="7">
        <v>16.43</v>
      </c>
      <c r="AC94" s="7">
        <v>7.62</v>
      </c>
      <c r="AD94" s="7">
        <v>72.23</v>
      </c>
      <c r="AE94" s="7">
        <v>5.49</v>
      </c>
      <c r="AF94" s="7">
        <v>32.31</v>
      </c>
      <c r="AG94" s="7">
        <v>3.05</v>
      </c>
      <c r="AH94" s="7" t="s">
        <v>68</v>
      </c>
      <c r="AI94" s="7">
        <v>2.19</v>
      </c>
      <c r="AJ94" s="7">
        <v>149.69999999999999</v>
      </c>
      <c r="AK94" s="7">
        <v>2.9</v>
      </c>
      <c r="AL94" s="7">
        <v>113.73</v>
      </c>
      <c r="AM94" s="7">
        <v>2.25</v>
      </c>
      <c r="AN94" s="7">
        <v>235.01</v>
      </c>
      <c r="AO94" s="7">
        <v>3.15</v>
      </c>
      <c r="AP94" s="7">
        <v>11.51</v>
      </c>
      <c r="AQ94" s="7">
        <v>1.72</v>
      </c>
      <c r="AR94" s="7" t="s">
        <v>68</v>
      </c>
      <c r="AS94" s="7">
        <v>4.6900000000000004</v>
      </c>
      <c r="AT94" s="7" t="s">
        <v>68</v>
      </c>
      <c r="AU94" s="7">
        <v>4.45</v>
      </c>
      <c r="AV94" s="7" t="s">
        <v>68</v>
      </c>
      <c r="AW94" s="7">
        <v>6.34</v>
      </c>
      <c r="AX94" s="7" t="s">
        <v>68</v>
      </c>
      <c r="AY94" s="7">
        <v>4.75</v>
      </c>
      <c r="AZ94" s="7" t="s">
        <v>68</v>
      </c>
      <c r="BA94" s="7">
        <v>7.19</v>
      </c>
      <c r="BB94" s="7" t="s">
        <v>68</v>
      </c>
      <c r="BC94" s="7">
        <v>14.6</v>
      </c>
      <c r="BD94" s="7">
        <v>9.73</v>
      </c>
      <c r="BE94" s="7">
        <v>3.2</v>
      </c>
      <c r="BF94" s="7">
        <v>208.69</v>
      </c>
      <c r="BG94" s="7">
        <v>15.23</v>
      </c>
      <c r="BH94" s="7" t="s">
        <v>68</v>
      </c>
      <c r="BI94" s="7">
        <v>23.29</v>
      </c>
      <c r="BJ94" s="7" t="s">
        <v>68</v>
      </c>
      <c r="BK94" s="7">
        <v>3.33</v>
      </c>
      <c r="BL94" s="7" t="s">
        <v>68</v>
      </c>
      <c r="BM94" s="7">
        <v>5.17</v>
      </c>
      <c r="BN94" s="7">
        <v>28.78</v>
      </c>
      <c r="BO94" s="7">
        <v>3.03</v>
      </c>
      <c r="BP94" s="7">
        <v>13.58</v>
      </c>
      <c r="BQ94" s="7">
        <v>2.0499999999999998</v>
      </c>
      <c r="BR94" s="7" t="s">
        <v>68</v>
      </c>
      <c r="BS94" s="7">
        <v>4.8899999999999997</v>
      </c>
    </row>
    <row r="95" spans="1:71">
      <c r="A95" s="7">
        <v>93</v>
      </c>
      <c r="B95" s="7">
        <f t="shared" si="1"/>
        <v>163.75</v>
      </c>
      <c r="C95" s="9" t="s">
        <v>164</v>
      </c>
      <c r="D95" s="7">
        <v>23441.279999999999</v>
      </c>
      <c r="E95" s="7">
        <v>199.98</v>
      </c>
      <c r="F95" s="7" t="s">
        <v>68</v>
      </c>
      <c r="G95" s="7">
        <v>379.09</v>
      </c>
      <c r="H95" s="7">
        <v>13633.02</v>
      </c>
      <c r="I95" s="7">
        <v>375.7</v>
      </c>
      <c r="J95" s="7">
        <v>530.16999999999996</v>
      </c>
      <c r="K95" s="7">
        <v>106.24</v>
      </c>
      <c r="L95" s="7">
        <v>20.149999999999999</v>
      </c>
      <c r="M95" s="7">
        <v>9.9</v>
      </c>
      <c r="N95" s="7">
        <v>5144.57</v>
      </c>
      <c r="O95" s="7">
        <v>58.9</v>
      </c>
      <c r="P95" s="7">
        <v>142.94</v>
      </c>
      <c r="Q95" s="7">
        <v>15.14</v>
      </c>
      <c r="R95" s="7">
        <v>65.739999999999995</v>
      </c>
      <c r="S95" s="7">
        <v>7.69</v>
      </c>
      <c r="T95" s="7">
        <v>133.68</v>
      </c>
      <c r="U95" s="7">
        <v>25.52</v>
      </c>
      <c r="V95" s="7">
        <v>22301.5</v>
      </c>
      <c r="W95" s="7">
        <v>133.97</v>
      </c>
      <c r="X95" s="7" t="s">
        <v>68</v>
      </c>
      <c r="Y95" s="7">
        <v>73.319999999999993</v>
      </c>
      <c r="Z95" s="7">
        <v>43.43</v>
      </c>
      <c r="AA95" s="7">
        <v>12.66</v>
      </c>
      <c r="AB95" s="7">
        <v>17.71</v>
      </c>
      <c r="AC95" s="7">
        <v>7.48</v>
      </c>
      <c r="AD95" s="7">
        <v>73.5</v>
      </c>
      <c r="AE95" s="7">
        <v>5.41</v>
      </c>
      <c r="AF95" s="7">
        <v>23.75</v>
      </c>
      <c r="AG95" s="7">
        <v>2.81</v>
      </c>
      <c r="AH95" s="7" t="s">
        <v>68</v>
      </c>
      <c r="AI95" s="7">
        <v>2.12</v>
      </c>
      <c r="AJ95" s="7">
        <v>149.97999999999999</v>
      </c>
      <c r="AK95" s="7">
        <v>2.85</v>
      </c>
      <c r="AL95" s="7">
        <v>112.22</v>
      </c>
      <c r="AM95" s="7">
        <v>2.2000000000000002</v>
      </c>
      <c r="AN95" s="7">
        <v>246.31</v>
      </c>
      <c r="AO95" s="7">
        <v>3.16</v>
      </c>
      <c r="AP95" s="7">
        <v>9.51</v>
      </c>
      <c r="AQ95" s="7">
        <v>1.69</v>
      </c>
      <c r="AR95" s="7" t="s">
        <v>68</v>
      </c>
      <c r="AS95" s="7">
        <v>4.5199999999999996</v>
      </c>
      <c r="AT95" s="7" t="s">
        <v>68</v>
      </c>
      <c r="AU95" s="7">
        <v>4.3</v>
      </c>
      <c r="AV95" s="7" t="s">
        <v>68</v>
      </c>
      <c r="AW95" s="7">
        <v>6.17</v>
      </c>
      <c r="AX95" s="7" t="s">
        <v>68</v>
      </c>
      <c r="AY95" s="7">
        <v>4.5999999999999996</v>
      </c>
      <c r="AZ95" s="7" t="s">
        <v>68</v>
      </c>
      <c r="BA95" s="7">
        <v>6.96</v>
      </c>
      <c r="BB95" s="7" t="s">
        <v>68</v>
      </c>
      <c r="BC95" s="7">
        <v>14.19</v>
      </c>
      <c r="BD95" s="7" t="s">
        <v>68</v>
      </c>
      <c r="BE95" s="7">
        <v>4.6900000000000004</v>
      </c>
      <c r="BF95" s="7">
        <v>176.99</v>
      </c>
      <c r="BG95" s="7">
        <v>14.85</v>
      </c>
      <c r="BH95" s="7" t="s">
        <v>68</v>
      </c>
      <c r="BI95" s="7">
        <v>22.53</v>
      </c>
      <c r="BJ95" s="7" t="s">
        <v>68</v>
      </c>
      <c r="BK95" s="7">
        <v>3.15</v>
      </c>
      <c r="BL95" s="7" t="s">
        <v>68</v>
      </c>
      <c r="BM95" s="7">
        <v>5</v>
      </c>
      <c r="BN95" s="7">
        <v>27.47</v>
      </c>
      <c r="BO95" s="7">
        <v>2.94</v>
      </c>
      <c r="BP95" s="7">
        <v>14.16</v>
      </c>
      <c r="BQ95" s="7">
        <v>2.02</v>
      </c>
      <c r="BR95" s="7" t="s">
        <v>68</v>
      </c>
      <c r="BS95" s="7">
        <v>4.8</v>
      </c>
    </row>
    <row r="96" spans="1:71">
      <c r="A96" s="7">
        <v>94</v>
      </c>
      <c r="B96" s="7">
        <f t="shared" si="1"/>
        <v>143.75</v>
      </c>
      <c r="C96" s="9" t="s">
        <v>165</v>
      </c>
      <c r="D96" s="7">
        <v>23354.69</v>
      </c>
      <c r="E96" s="7">
        <v>201.55</v>
      </c>
      <c r="F96" s="7" t="s">
        <v>68</v>
      </c>
      <c r="G96" s="7">
        <v>378.93</v>
      </c>
      <c r="H96" s="7">
        <v>15280.57</v>
      </c>
      <c r="I96" s="7">
        <v>400.33</v>
      </c>
      <c r="J96" s="7">
        <v>340.37</v>
      </c>
      <c r="K96" s="7">
        <v>108.35</v>
      </c>
      <c r="L96" s="7">
        <v>31.34</v>
      </c>
      <c r="M96" s="7">
        <v>10.14</v>
      </c>
      <c r="N96" s="7">
        <v>5258.18</v>
      </c>
      <c r="O96" s="7">
        <v>59.9</v>
      </c>
      <c r="P96" s="7">
        <v>152.74</v>
      </c>
      <c r="Q96" s="7">
        <v>15.43</v>
      </c>
      <c r="R96" s="7">
        <v>69.12</v>
      </c>
      <c r="S96" s="7">
        <v>7.86</v>
      </c>
      <c r="T96" s="7">
        <v>106.26</v>
      </c>
      <c r="U96" s="7">
        <v>24.93</v>
      </c>
      <c r="V96" s="7">
        <v>23334.82</v>
      </c>
      <c r="W96" s="7">
        <v>136.91999999999999</v>
      </c>
      <c r="X96" s="7" t="s">
        <v>68</v>
      </c>
      <c r="Y96" s="7">
        <v>74.27</v>
      </c>
      <c r="Z96" s="7">
        <v>38.590000000000003</v>
      </c>
      <c r="AA96" s="7">
        <v>12.53</v>
      </c>
      <c r="AB96" s="7">
        <v>20.059999999999999</v>
      </c>
      <c r="AC96" s="7">
        <v>7.49</v>
      </c>
      <c r="AD96" s="7">
        <v>63.96</v>
      </c>
      <c r="AE96" s="7">
        <v>5.2</v>
      </c>
      <c r="AF96" s="7">
        <v>26.88</v>
      </c>
      <c r="AG96" s="7">
        <v>2.91</v>
      </c>
      <c r="AH96" s="7" t="s">
        <v>68</v>
      </c>
      <c r="AI96" s="7">
        <v>2.2000000000000002</v>
      </c>
      <c r="AJ96" s="7">
        <v>147.71</v>
      </c>
      <c r="AK96" s="7">
        <v>2.84</v>
      </c>
      <c r="AL96" s="7">
        <v>112.2</v>
      </c>
      <c r="AM96" s="7">
        <v>2.19</v>
      </c>
      <c r="AN96" s="7">
        <v>246.37</v>
      </c>
      <c r="AO96" s="7">
        <v>3.16</v>
      </c>
      <c r="AP96" s="7">
        <v>10.25</v>
      </c>
      <c r="AQ96" s="7">
        <v>1.69</v>
      </c>
      <c r="AR96" s="7" t="s">
        <v>68</v>
      </c>
      <c r="AS96" s="7">
        <v>4.67</v>
      </c>
      <c r="AT96" s="7" t="s">
        <v>68</v>
      </c>
      <c r="AU96" s="7">
        <v>4.25</v>
      </c>
      <c r="AV96" s="7" t="s">
        <v>68</v>
      </c>
      <c r="AW96" s="7">
        <v>6.16</v>
      </c>
      <c r="AX96" s="7" t="s">
        <v>68</v>
      </c>
      <c r="AY96" s="7">
        <v>4.59</v>
      </c>
      <c r="AZ96" s="7" t="s">
        <v>68</v>
      </c>
      <c r="BA96" s="7">
        <v>7.03</v>
      </c>
      <c r="BB96" s="7" t="s">
        <v>68</v>
      </c>
      <c r="BC96" s="7">
        <v>14.26</v>
      </c>
      <c r="BD96" s="7">
        <v>8.83</v>
      </c>
      <c r="BE96" s="7">
        <v>3.14</v>
      </c>
      <c r="BF96" s="7">
        <v>199.43</v>
      </c>
      <c r="BG96" s="7">
        <v>14.92</v>
      </c>
      <c r="BH96" s="7" t="s">
        <v>68</v>
      </c>
      <c r="BI96" s="7">
        <v>22.54</v>
      </c>
      <c r="BJ96" s="7" t="s">
        <v>68</v>
      </c>
      <c r="BK96" s="7">
        <v>3.32</v>
      </c>
      <c r="BL96" s="7" t="s">
        <v>68</v>
      </c>
      <c r="BM96" s="7">
        <v>5.0599999999999996</v>
      </c>
      <c r="BN96" s="7">
        <v>29.2</v>
      </c>
      <c r="BO96" s="7">
        <v>3</v>
      </c>
      <c r="BP96" s="7">
        <v>14.4</v>
      </c>
      <c r="BQ96" s="7">
        <v>2.0299999999999998</v>
      </c>
      <c r="BR96" s="7">
        <v>5.61</v>
      </c>
      <c r="BS96" s="7">
        <v>3.21</v>
      </c>
    </row>
    <row r="97" spans="1:71">
      <c r="A97" s="7">
        <v>95</v>
      </c>
      <c r="B97" s="7">
        <f t="shared" si="1"/>
        <v>123.75</v>
      </c>
      <c r="C97" s="9" t="s">
        <v>166</v>
      </c>
      <c r="D97" s="7">
        <v>23229.14</v>
      </c>
      <c r="E97" s="7">
        <v>209.04</v>
      </c>
      <c r="F97" s="7" t="s">
        <v>68</v>
      </c>
      <c r="G97" s="7">
        <v>422.26</v>
      </c>
      <c r="H97" s="7">
        <v>20697.39</v>
      </c>
      <c r="I97" s="7">
        <v>481.24</v>
      </c>
      <c r="J97" s="7">
        <v>298.32</v>
      </c>
      <c r="K97" s="7">
        <v>113</v>
      </c>
      <c r="L97" s="7">
        <v>34.46</v>
      </c>
      <c r="M97" s="7">
        <v>10.88</v>
      </c>
      <c r="N97" s="7">
        <v>5109.0200000000004</v>
      </c>
      <c r="O97" s="7">
        <v>61.61</v>
      </c>
      <c r="P97" s="7">
        <v>144.13999999999999</v>
      </c>
      <c r="Q97" s="7">
        <v>15.86</v>
      </c>
      <c r="R97" s="7">
        <v>70.349999999999994</v>
      </c>
      <c r="S97" s="7">
        <v>8.16</v>
      </c>
      <c r="T97" s="7">
        <v>125.18</v>
      </c>
      <c r="U97" s="7">
        <v>26.57</v>
      </c>
      <c r="V97" s="7">
        <v>30274.87</v>
      </c>
      <c r="W97" s="7">
        <v>160.65</v>
      </c>
      <c r="X97" s="7" t="s">
        <v>68</v>
      </c>
      <c r="Y97" s="7">
        <v>87.58</v>
      </c>
      <c r="Z97" s="7">
        <v>44.79</v>
      </c>
      <c r="AA97" s="7">
        <v>13.27</v>
      </c>
      <c r="AB97" s="7">
        <v>17.52</v>
      </c>
      <c r="AC97" s="7">
        <v>7.77</v>
      </c>
      <c r="AD97" s="7">
        <v>64.33</v>
      </c>
      <c r="AE97" s="7">
        <v>5.38</v>
      </c>
      <c r="AF97" s="7">
        <v>34.21</v>
      </c>
      <c r="AG97" s="7">
        <v>3.1</v>
      </c>
      <c r="AH97" s="7" t="s">
        <v>68</v>
      </c>
      <c r="AI97" s="7">
        <v>2.27</v>
      </c>
      <c r="AJ97" s="7">
        <v>145.44999999999999</v>
      </c>
      <c r="AK97" s="7">
        <v>2.91</v>
      </c>
      <c r="AL97" s="7">
        <v>108.89</v>
      </c>
      <c r="AM97" s="7">
        <v>2.23</v>
      </c>
      <c r="AN97" s="7">
        <v>241.34</v>
      </c>
      <c r="AO97" s="7">
        <v>3.23</v>
      </c>
      <c r="AP97" s="7">
        <v>8.92</v>
      </c>
      <c r="AQ97" s="7">
        <v>1.73</v>
      </c>
      <c r="AR97" s="7" t="s">
        <v>68</v>
      </c>
      <c r="AS97" s="7">
        <v>4.72</v>
      </c>
      <c r="AT97" s="7" t="s">
        <v>68</v>
      </c>
      <c r="AU97" s="7">
        <v>4.45</v>
      </c>
      <c r="AV97" s="7" t="s">
        <v>68</v>
      </c>
      <c r="AW97" s="7">
        <v>6.33</v>
      </c>
      <c r="AX97" s="7" t="s">
        <v>68</v>
      </c>
      <c r="AY97" s="7">
        <v>4.76</v>
      </c>
      <c r="AZ97" s="7" t="s">
        <v>68</v>
      </c>
      <c r="BA97" s="7">
        <v>7.32</v>
      </c>
      <c r="BB97" s="7" t="s">
        <v>68</v>
      </c>
      <c r="BC97" s="7">
        <v>14.68</v>
      </c>
      <c r="BD97" s="7">
        <v>9.5299999999999994</v>
      </c>
      <c r="BE97" s="7">
        <v>3.22</v>
      </c>
      <c r="BF97" s="7">
        <v>220.64</v>
      </c>
      <c r="BG97" s="7">
        <v>15.39</v>
      </c>
      <c r="BH97" s="7" t="s">
        <v>68</v>
      </c>
      <c r="BI97" s="7">
        <v>23.41</v>
      </c>
      <c r="BJ97" s="7" t="s">
        <v>68</v>
      </c>
      <c r="BK97" s="7">
        <v>3.42</v>
      </c>
      <c r="BL97" s="7" t="s">
        <v>68</v>
      </c>
      <c r="BM97" s="7">
        <v>5.22</v>
      </c>
      <c r="BN97" s="7">
        <v>27.24</v>
      </c>
      <c r="BO97" s="7">
        <v>3.04</v>
      </c>
      <c r="BP97" s="7">
        <v>15.05</v>
      </c>
      <c r="BQ97" s="7">
        <v>2.12</v>
      </c>
      <c r="BR97" s="7">
        <v>5.7</v>
      </c>
      <c r="BS97" s="7">
        <v>3.3</v>
      </c>
    </row>
    <row r="98" spans="1:71">
      <c r="A98" s="7">
        <v>96</v>
      </c>
      <c r="B98" s="7">
        <f t="shared" si="1"/>
        <v>103.75</v>
      </c>
      <c r="C98" s="9" t="s">
        <v>167</v>
      </c>
      <c r="D98" s="7">
        <v>22450.31</v>
      </c>
      <c r="E98" s="7">
        <v>197.32</v>
      </c>
      <c r="F98" s="7" t="s">
        <v>68</v>
      </c>
      <c r="G98" s="7">
        <v>372.54</v>
      </c>
      <c r="H98" s="7">
        <v>18002.53</v>
      </c>
      <c r="I98" s="7">
        <v>431.76</v>
      </c>
      <c r="J98" s="7">
        <v>915.83</v>
      </c>
      <c r="K98" s="7">
        <v>106.6</v>
      </c>
      <c r="L98" s="7">
        <v>18.87</v>
      </c>
      <c r="M98" s="7">
        <v>10.46</v>
      </c>
      <c r="N98" s="7">
        <v>4974.5200000000004</v>
      </c>
      <c r="O98" s="7">
        <v>58.3</v>
      </c>
      <c r="P98" s="7">
        <v>146.63999999999999</v>
      </c>
      <c r="Q98" s="7">
        <v>15.06</v>
      </c>
      <c r="R98" s="7">
        <v>73.59</v>
      </c>
      <c r="S98" s="7">
        <v>7.8</v>
      </c>
      <c r="T98" s="7">
        <v>105.33</v>
      </c>
      <c r="U98" s="7">
        <v>25.51</v>
      </c>
      <c r="V98" s="7">
        <v>26013.55</v>
      </c>
      <c r="W98" s="7">
        <v>146.78</v>
      </c>
      <c r="X98" s="7" t="s">
        <v>68</v>
      </c>
      <c r="Y98" s="7">
        <v>80.14</v>
      </c>
      <c r="Z98" s="7">
        <v>46.08</v>
      </c>
      <c r="AA98" s="7">
        <v>12.99</v>
      </c>
      <c r="AB98" s="7">
        <v>16.670000000000002</v>
      </c>
      <c r="AC98" s="7">
        <v>7.61</v>
      </c>
      <c r="AD98" s="7">
        <v>61.28</v>
      </c>
      <c r="AE98" s="7">
        <v>5.23</v>
      </c>
      <c r="AF98" s="7">
        <v>26.46</v>
      </c>
      <c r="AG98" s="7">
        <v>2.87</v>
      </c>
      <c r="AH98" s="7" t="s">
        <v>68</v>
      </c>
      <c r="AI98" s="7">
        <v>2.1800000000000002</v>
      </c>
      <c r="AJ98" s="7">
        <v>146.74</v>
      </c>
      <c r="AK98" s="7">
        <v>2.86</v>
      </c>
      <c r="AL98" s="7">
        <v>113.64</v>
      </c>
      <c r="AM98" s="7">
        <v>2.2400000000000002</v>
      </c>
      <c r="AN98" s="7">
        <v>249.65</v>
      </c>
      <c r="AO98" s="7">
        <v>3.23</v>
      </c>
      <c r="AP98" s="7">
        <v>9.52</v>
      </c>
      <c r="AQ98" s="7">
        <v>1.71</v>
      </c>
      <c r="AR98" s="7" t="s">
        <v>68</v>
      </c>
      <c r="AS98" s="7">
        <v>4.72</v>
      </c>
      <c r="AT98" s="7" t="s">
        <v>68</v>
      </c>
      <c r="AU98" s="7">
        <v>4.38</v>
      </c>
      <c r="AV98" s="7" t="s">
        <v>68</v>
      </c>
      <c r="AW98" s="7">
        <v>6.28</v>
      </c>
      <c r="AX98" s="7" t="s">
        <v>68</v>
      </c>
      <c r="AY98" s="7">
        <v>4.74</v>
      </c>
      <c r="AZ98" s="7" t="s">
        <v>68</v>
      </c>
      <c r="BA98" s="7">
        <v>7.26</v>
      </c>
      <c r="BB98" s="7" t="s">
        <v>68</v>
      </c>
      <c r="BC98" s="7">
        <v>14.66</v>
      </c>
      <c r="BD98" s="7">
        <v>15.77</v>
      </c>
      <c r="BE98" s="7">
        <v>3.23</v>
      </c>
      <c r="BF98" s="7">
        <v>214.56</v>
      </c>
      <c r="BG98" s="7">
        <v>15.28</v>
      </c>
      <c r="BH98" s="7" t="s">
        <v>68</v>
      </c>
      <c r="BI98" s="7">
        <v>23.23</v>
      </c>
      <c r="BJ98" s="7" t="s">
        <v>68</v>
      </c>
      <c r="BK98" s="7">
        <v>3.29</v>
      </c>
      <c r="BL98" s="7" t="s">
        <v>68</v>
      </c>
      <c r="BM98" s="7">
        <v>5.15</v>
      </c>
      <c r="BN98" s="7">
        <v>25.53</v>
      </c>
      <c r="BO98" s="7">
        <v>2.93</v>
      </c>
      <c r="BP98" s="7">
        <v>16.309999999999999</v>
      </c>
      <c r="BQ98" s="7">
        <v>2.11</v>
      </c>
      <c r="BR98" s="7" t="s">
        <v>68</v>
      </c>
      <c r="BS98" s="7">
        <v>4.7699999999999996</v>
      </c>
    </row>
    <row r="99" spans="1:71">
      <c r="A99" s="7">
        <v>97</v>
      </c>
      <c r="B99" s="7">
        <f t="shared" si="1"/>
        <v>83.75</v>
      </c>
      <c r="C99" s="9" t="s">
        <v>168</v>
      </c>
      <c r="D99" s="7">
        <v>23311.25</v>
      </c>
      <c r="E99" s="7">
        <v>200.4</v>
      </c>
      <c r="F99" s="7" t="s">
        <v>68</v>
      </c>
      <c r="G99" s="7">
        <v>381.63</v>
      </c>
      <c r="H99" s="7">
        <v>15309.19</v>
      </c>
      <c r="I99" s="7">
        <v>398.76</v>
      </c>
      <c r="J99" s="7">
        <v>599.62</v>
      </c>
      <c r="K99" s="7">
        <v>107.42</v>
      </c>
      <c r="L99" s="7">
        <v>20.04</v>
      </c>
      <c r="M99" s="7">
        <v>10.15</v>
      </c>
      <c r="N99" s="7">
        <v>5033.84</v>
      </c>
      <c r="O99" s="7">
        <v>58.78</v>
      </c>
      <c r="P99" s="7">
        <v>161.03</v>
      </c>
      <c r="Q99" s="7">
        <v>15.31</v>
      </c>
      <c r="R99" s="7">
        <v>70.34</v>
      </c>
      <c r="S99" s="7">
        <v>7.81</v>
      </c>
      <c r="T99" s="7">
        <v>106.85</v>
      </c>
      <c r="U99" s="7">
        <v>25.14</v>
      </c>
      <c r="V99" s="7">
        <v>24079.05</v>
      </c>
      <c r="W99" s="7">
        <v>139.68</v>
      </c>
      <c r="X99" s="7" t="s">
        <v>68</v>
      </c>
      <c r="Y99" s="7">
        <v>76.260000000000005</v>
      </c>
      <c r="Z99" s="7">
        <v>55.02</v>
      </c>
      <c r="AA99" s="7">
        <v>12.9</v>
      </c>
      <c r="AB99" s="7" t="s">
        <v>68</v>
      </c>
      <c r="AC99" s="7">
        <v>11.03</v>
      </c>
      <c r="AD99" s="7">
        <v>65.28</v>
      </c>
      <c r="AE99" s="7">
        <v>5.27</v>
      </c>
      <c r="AF99" s="7">
        <v>25.88</v>
      </c>
      <c r="AG99" s="7">
        <v>2.87</v>
      </c>
      <c r="AH99" s="7" t="s">
        <v>68</v>
      </c>
      <c r="AI99" s="7">
        <v>2.17</v>
      </c>
      <c r="AJ99" s="7">
        <v>150.13999999999999</v>
      </c>
      <c r="AK99" s="7">
        <v>2.87</v>
      </c>
      <c r="AL99" s="7">
        <v>113.88</v>
      </c>
      <c r="AM99" s="7">
        <v>2.2200000000000002</v>
      </c>
      <c r="AN99" s="7">
        <v>232.97</v>
      </c>
      <c r="AO99" s="7">
        <v>3.11</v>
      </c>
      <c r="AP99" s="7">
        <v>10.54</v>
      </c>
      <c r="AQ99" s="7">
        <v>1.69</v>
      </c>
      <c r="AR99" s="7" t="s">
        <v>68</v>
      </c>
      <c r="AS99" s="7">
        <v>4.6500000000000004</v>
      </c>
      <c r="AT99" s="7" t="s">
        <v>68</v>
      </c>
      <c r="AU99" s="7">
        <v>4.3499999999999996</v>
      </c>
      <c r="AV99" s="7" t="s">
        <v>68</v>
      </c>
      <c r="AW99" s="7">
        <v>6.26</v>
      </c>
      <c r="AX99" s="7" t="s">
        <v>68</v>
      </c>
      <c r="AY99" s="7">
        <v>4.68</v>
      </c>
      <c r="AZ99" s="7" t="s">
        <v>68</v>
      </c>
      <c r="BA99" s="7">
        <v>7.09</v>
      </c>
      <c r="BB99" s="7" t="s">
        <v>68</v>
      </c>
      <c r="BC99" s="7">
        <v>14.54</v>
      </c>
      <c r="BD99" s="7">
        <v>4.78</v>
      </c>
      <c r="BE99" s="7">
        <v>3.16</v>
      </c>
      <c r="BF99" s="7">
        <v>208.06</v>
      </c>
      <c r="BG99" s="7">
        <v>15.13</v>
      </c>
      <c r="BH99" s="7">
        <v>26.17</v>
      </c>
      <c r="BI99" s="7">
        <v>15.57</v>
      </c>
      <c r="BJ99" s="7">
        <v>3.43</v>
      </c>
      <c r="BK99" s="7">
        <v>2.23</v>
      </c>
      <c r="BL99" s="7" t="s">
        <v>68</v>
      </c>
      <c r="BM99" s="7">
        <v>5.15</v>
      </c>
      <c r="BN99" s="7">
        <v>27.54</v>
      </c>
      <c r="BO99" s="7">
        <v>2.96</v>
      </c>
      <c r="BP99" s="7">
        <v>16.53</v>
      </c>
      <c r="BQ99" s="7">
        <v>2.09</v>
      </c>
      <c r="BR99" s="7" t="s">
        <v>68</v>
      </c>
      <c r="BS99" s="7">
        <v>4.82</v>
      </c>
    </row>
    <row r="100" spans="1:71">
      <c r="A100" s="7">
        <v>98</v>
      </c>
      <c r="B100" s="7">
        <f t="shared" si="1"/>
        <v>63.75</v>
      </c>
      <c r="C100" s="9" t="s">
        <v>169</v>
      </c>
      <c r="D100" s="7">
        <v>23935.05</v>
      </c>
      <c r="E100" s="7">
        <v>205.64</v>
      </c>
      <c r="F100" s="7" t="s">
        <v>68</v>
      </c>
      <c r="G100" s="7">
        <v>383.74</v>
      </c>
      <c r="H100" s="7">
        <v>16387.259999999998</v>
      </c>
      <c r="I100" s="7">
        <v>417.25</v>
      </c>
      <c r="J100" s="7">
        <v>622.64</v>
      </c>
      <c r="K100" s="7">
        <v>109.42</v>
      </c>
      <c r="L100" s="7">
        <v>30.32</v>
      </c>
      <c r="M100" s="7">
        <v>10.56</v>
      </c>
      <c r="N100" s="7">
        <v>5251.66</v>
      </c>
      <c r="O100" s="7">
        <v>60.54</v>
      </c>
      <c r="P100" s="7">
        <v>157.99</v>
      </c>
      <c r="Q100" s="7">
        <v>15.66</v>
      </c>
      <c r="R100" s="7">
        <v>75.239999999999995</v>
      </c>
      <c r="S100" s="7">
        <v>8</v>
      </c>
      <c r="T100" s="7">
        <v>87.87</v>
      </c>
      <c r="U100" s="7">
        <v>24.6</v>
      </c>
      <c r="V100" s="7">
        <v>24216.07</v>
      </c>
      <c r="W100" s="7">
        <v>139.63</v>
      </c>
      <c r="X100" s="7" t="s">
        <v>68</v>
      </c>
      <c r="Y100" s="7">
        <v>76.510000000000005</v>
      </c>
      <c r="Z100" s="7">
        <v>36.380000000000003</v>
      </c>
      <c r="AA100" s="7">
        <v>12.62</v>
      </c>
      <c r="AB100" s="7" t="s">
        <v>68</v>
      </c>
      <c r="AC100" s="7">
        <v>10.96</v>
      </c>
      <c r="AD100" s="7">
        <v>66.180000000000007</v>
      </c>
      <c r="AE100" s="7">
        <v>5.27</v>
      </c>
      <c r="AF100" s="7">
        <v>27.95</v>
      </c>
      <c r="AG100" s="7">
        <v>2.9</v>
      </c>
      <c r="AH100" s="7" t="s">
        <v>68</v>
      </c>
      <c r="AI100" s="7">
        <v>2.1</v>
      </c>
      <c r="AJ100" s="7">
        <v>154.63</v>
      </c>
      <c r="AK100" s="7">
        <v>2.89</v>
      </c>
      <c r="AL100" s="7">
        <v>117.83</v>
      </c>
      <c r="AM100" s="7">
        <v>2.25</v>
      </c>
      <c r="AN100" s="7">
        <v>242.97</v>
      </c>
      <c r="AO100" s="7">
        <v>3.15</v>
      </c>
      <c r="AP100" s="7">
        <v>9.9</v>
      </c>
      <c r="AQ100" s="7">
        <v>1.69</v>
      </c>
      <c r="AR100" s="7" t="s">
        <v>68</v>
      </c>
      <c r="AS100" s="7">
        <v>4.55</v>
      </c>
      <c r="AT100" s="7" t="s">
        <v>68</v>
      </c>
      <c r="AU100" s="7">
        <v>4.33</v>
      </c>
      <c r="AV100" s="7" t="s">
        <v>68</v>
      </c>
      <c r="AW100" s="7">
        <v>6.14</v>
      </c>
      <c r="AX100" s="7" t="s">
        <v>68</v>
      </c>
      <c r="AY100" s="7">
        <v>4.57</v>
      </c>
      <c r="AZ100" s="7" t="s">
        <v>68</v>
      </c>
      <c r="BA100" s="7">
        <v>6.95</v>
      </c>
      <c r="BB100" s="7" t="s">
        <v>68</v>
      </c>
      <c r="BC100" s="7">
        <v>14.04</v>
      </c>
      <c r="BD100" s="7" t="s">
        <v>68</v>
      </c>
      <c r="BE100" s="7">
        <v>4.6399999999999997</v>
      </c>
      <c r="BF100" s="7">
        <v>162.91999999999999</v>
      </c>
      <c r="BG100" s="7">
        <v>14.68</v>
      </c>
      <c r="BH100" s="7">
        <v>25.17</v>
      </c>
      <c r="BI100" s="7">
        <v>15.36</v>
      </c>
      <c r="BJ100" s="7" t="s">
        <v>68</v>
      </c>
      <c r="BK100" s="7">
        <v>3.18</v>
      </c>
      <c r="BL100" s="7" t="s">
        <v>68</v>
      </c>
      <c r="BM100" s="7">
        <v>5.08</v>
      </c>
      <c r="BN100" s="7">
        <v>27.92</v>
      </c>
      <c r="BO100" s="7">
        <v>2.96</v>
      </c>
      <c r="BP100" s="7">
        <v>13.44</v>
      </c>
      <c r="BQ100" s="7">
        <v>2.0099999999999998</v>
      </c>
      <c r="BR100" s="7" t="s">
        <v>68</v>
      </c>
      <c r="BS100" s="7">
        <v>4.8499999999999996</v>
      </c>
    </row>
    <row r="101" spans="1:71">
      <c r="A101" s="7">
        <v>99</v>
      </c>
      <c r="B101" s="7">
        <f t="shared" si="1"/>
        <v>43.75</v>
      </c>
      <c r="C101" s="9" t="s">
        <v>170</v>
      </c>
      <c r="D101" s="7">
        <v>24191.4</v>
      </c>
      <c r="E101" s="7">
        <v>199.69</v>
      </c>
      <c r="F101" s="7" t="s">
        <v>68</v>
      </c>
      <c r="G101" s="7">
        <v>347.66</v>
      </c>
      <c r="H101" s="7">
        <v>14709.66</v>
      </c>
      <c r="I101" s="7">
        <v>382.87</v>
      </c>
      <c r="J101" s="7">
        <v>561.89</v>
      </c>
      <c r="K101" s="7">
        <v>105.71</v>
      </c>
      <c r="L101" s="7">
        <v>21.46</v>
      </c>
      <c r="M101" s="7">
        <v>9.8699999999999992</v>
      </c>
      <c r="N101" s="7">
        <v>5296.74</v>
      </c>
      <c r="O101" s="7">
        <v>58.28</v>
      </c>
      <c r="P101" s="7">
        <v>160.63</v>
      </c>
      <c r="Q101" s="7">
        <v>15.04</v>
      </c>
      <c r="R101" s="7">
        <v>64.48</v>
      </c>
      <c r="S101" s="7">
        <v>7.6</v>
      </c>
      <c r="T101" s="7">
        <v>109.72</v>
      </c>
      <c r="U101" s="7">
        <v>24.75</v>
      </c>
      <c r="V101" s="7">
        <v>21933.95</v>
      </c>
      <c r="W101" s="7">
        <v>131.76</v>
      </c>
      <c r="X101" s="7" t="s">
        <v>68</v>
      </c>
      <c r="Y101" s="7">
        <v>71.83</v>
      </c>
      <c r="Z101" s="7">
        <v>32.520000000000003</v>
      </c>
      <c r="AA101" s="7">
        <v>12.35</v>
      </c>
      <c r="AB101" s="7">
        <v>16.8</v>
      </c>
      <c r="AC101" s="7">
        <v>7.35</v>
      </c>
      <c r="AD101" s="7">
        <v>59.9</v>
      </c>
      <c r="AE101" s="7">
        <v>5.07</v>
      </c>
      <c r="AF101" s="7">
        <v>22.23</v>
      </c>
      <c r="AG101" s="7">
        <v>2.8</v>
      </c>
      <c r="AH101" s="7" t="s">
        <v>68</v>
      </c>
      <c r="AI101" s="7">
        <v>2.1</v>
      </c>
      <c r="AJ101" s="7">
        <v>154.06</v>
      </c>
      <c r="AK101" s="7">
        <v>2.87</v>
      </c>
      <c r="AL101" s="7">
        <v>115.18</v>
      </c>
      <c r="AM101" s="7">
        <v>2.2000000000000002</v>
      </c>
      <c r="AN101" s="7">
        <v>239.39</v>
      </c>
      <c r="AO101" s="7">
        <v>3.1</v>
      </c>
      <c r="AP101" s="7">
        <v>8.23</v>
      </c>
      <c r="AQ101" s="7">
        <v>1.66</v>
      </c>
      <c r="AR101" s="7" t="s">
        <v>68</v>
      </c>
      <c r="AS101" s="7">
        <v>4.54</v>
      </c>
      <c r="AT101" s="7" t="s">
        <v>68</v>
      </c>
      <c r="AU101" s="7">
        <v>4.2699999999999996</v>
      </c>
      <c r="AV101" s="7" t="s">
        <v>68</v>
      </c>
      <c r="AW101" s="7">
        <v>6.09</v>
      </c>
      <c r="AX101" s="7" t="s">
        <v>68</v>
      </c>
      <c r="AY101" s="7">
        <v>4.55</v>
      </c>
      <c r="AZ101" s="7" t="s">
        <v>68</v>
      </c>
      <c r="BA101" s="7">
        <v>6.98</v>
      </c>
      <c r="BB101" s="7" t="s">
        <v>68</v>
      </c>
      <c r="BC101" s="7">
        <v>14.01</v>
      </c>
      <c r="BD101" s="7" t="s">
        <v>68</v>
      </c>
      <c r="BE101" s="7">
        <v>4.63</v>
      </c>
      <c r="BF101" s="7">
        <v>182.12</v>
      </c>
      <c r="BG101" s="7">
        <v>14.67</v>
      </c>
      <c r="BH101" s="7" t="s">
        <v>68</v>
      </c>
      <c r="BI101" s="7">
        <v>22.39</v>
      </c>
      <c r="BJ101" s="7" t="s">
        <v>68</v>
      </c>
      <c r="BK101" s="7">
        <v>3.15</v>
      </c>
      <c r="BL101" s="7" t="s">
        <v>68</v>
      </c>
      <c r="BM101" s="7">
        <v>5.0199999999999996</v>
      </c>
      <c r="BN101" s="7">
        <v>29.6</v>
      </c>
      <c r="BO101" s="7">
        <v>2.98</v>
      </c>
      <c r="BP101" s="7">
        <v>12.54</v>
      </c>
      <c r="BQ101" s="7">
        <v>1.97</v>
      </c>
      <c r="BR101" s="7">
        <v>6.88</v>
      </c>
      <c r="BS101" s="7">
        <v>3.25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2477-86BF-4155-A40E-F766FF7B215B}">
  <dimension ref="A1:BS1000"/>
  <sheetViews>
    <sheetView workbookViewId="0">
      <selection activeCell="C14" sqref="C14"/>
    </sheetView>
  </sheetViews>
  <sheetFormatPr baseColWidth="10" defaultRowHeight="14.5"/>
  <sheetData>
    <row r="1" spans="1:71" ht="15" thickBot="1">
      <c r="A1" s="15" t="s">
        <v>70</v>
      </c>
      <c r="B1" s="15" t="s">
        <v>69</v>
      </c>
      <c r="C1" s="15" t="s">
        <v>179</v>
      </c>
      <c r="D1" s="15" t="s">
        <v>0</v>
      </c>
      <c r="E1" s="15" t="s">
        <v>1</v>
      </c>
      <c r="F1" s="15" t="s">
        <v>2</v>
      </c>
      <c r="G1" s="15" t="s">
        <v>3</v>
      </c>
      <c r="H1" s="15" t="s">
        <v>4</v>
      </c>
      <c r="I1" s="15" t="s">
        <v>5</v>
      </c>
      <c r="J1" s="15" t="s">
        <v>6</v>
      </c>
      <c r="K1" s="15" t="s">
        <v>7</v>
      </c>
      <c r="L1" s="15" t="s">
        <v>8</v>
      </c>
      <c r="M1" s="15" t="s">
        <v>9</v>
      </c>
      <c r="N1" s="15" t="s">
        <v>10</v>
      </c>
      <c r="O1" s="15" t="s">
        <v>11</v>
      </c>
      <c r="P1" s="15" t="s">
        <v>12</v>
      </c>
      <c r="Q1" s="15" t="s">
        <v>13</v>
      </c>
      <c r="R1" s="15" t="s">
        <v>14</v>
      </c>
      <c r="S1" s="15" t="s">
        <v>15</v>
      </c>
      <c r="T1" s="15" t="s">
        <v>16</v>
      </c>
      <c r="U1" s="15" t="s">
        <v>17</v>
      </c>
      <c r="V1" s="15" t="s">
        <v>18</v>
      </c>
      <c r="W1" s="15" t="s">
        <v>19</v>
      </c>
      <c r="X1" s="15" t="s">
        <v>20</v>
      </c>
      <c r="Y1" s="15" t="s">
        <v>21</v>
      </c>
      <c r="Z1" s="15" t="s">
        <v>22</v>
      </c>
      <c r="AA1" s="15" t="s">
        <v>23</v>
      </c>
      <c r="AB1" s="15" t="s">
        <v>24</v>
      </c>
      <c r="AC1" s="15" t="s">
        <v>25</v>
      </c>
      <c r="AD1" s="15" t="s">
        <v>26</v>
      </c>
      <c r="AE1" s="15" t="s">
        <v>27</v>
      </c>
      <c r="AF1" s="15" t="s">
        <v>28</v>
      </c>
      <c r="AG1" s="15" t="s">
        <v>29</v>
      </c>
      <c r="AH1" s="15" t="s">
        <v>30</v>
      </c>
      <c r="AI1" s="15" t="s">
        <v>31</v>
      </c>
      <c r="AJ1" s="15" t="s">
        <v>32</v>
      </c>
      <c r="AK1" s="15" t="s">
        <v>33</v>
      </c>
      <c r="AL1" s="15" t="s">
        <v>34</v>
      </c>
      <c r="AM1" s="15" t="s">
        <v>35</v>
      </c>
      <c r="AN1" s="15" t="s">
        <v>36</v>
      </c>
      <c r="AO1" s="15" t="s">
        <v>37</v>
      </c>
      <c r="AP1" s="15" t="s">
        <v>38</v>
      </c>
      <c r="AQ1" s="15" t="s">
        <v>39</v>
      </c>
      <c r="AR1" s="15" t="s">
        <v>40</v>
      </c>
      <c r="AS1" s="15" t="s">
        <v>41</v>
      </c>
      <c r="AT1" s="15" t="s">
        <v>42</v>
      </c>
      <c r="AU1" s="15" t="s">
        <v>43</v>
      </c>
      <c r="AV1" s="15" t="s">
        <v>44</v>
      </c>
      <c r="AW1" s="15" t="s">
        <v>45</v>
      </c>
      <c r="AX1" s="15" t="s">
        <v>46</v>
      </c>
      <c r="AY1" s="15" t="s">
        <v>47</v>
      </c>
      <c r="AZ1" s="15" t="s">
        <v>48</v>
      </c>
      <c r="BA1" s="15" t="s">
        <v>49</v>
      </c>
      <c r="BB1" s="15" t="s">
        <v>50</v>
      </c>
      <c r="BC1" s="15" t="s">
        <v>51</v>
      </c>
      <c r="BD1" s="15" t="s">
        <v>52</v>
      </c>
      <c r="BE1" s="15" t="s">
        <v>53</v>
      </c>
      <c r="BF1" s="15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15" t="s">
        <v>60</v>
      </c>
      <c r="BM1" s="15" t="s">
        <v>61</v>
      </c>
      <c r="BN1" s="15" t="s">
        <v>62</v>
      </c>
      <c r="BO1" s="15" t="s">
        <v>63</v>
      </c>
      <c r="BP1" s="15" t="s">
        <v>64</v>
      </c>
      <c r="BQ1" s="15" t="s">
        <v>65</v>
      </c>
      <c r="BR1" s="15" t="s">
        <v>66</v>
      </c>
      <c r="BS1" s="15" t="s">
        <v>67</v>
      </c>
    </row>
    <row r="2" spans="1:71" ht="15" thickBot="1">
      <c r="A2" s="16" t="s">
        <v>180</v>
      </c>
      <c r="B2" s="16">
        <v>0</v>
      </c>
      <c r="C2" s="16">
        <f>2023.75-(B2/0.05)</f>
        <v>2023.75</v>
      </c>
      <c r="D2" s="17" t="s">
        <v>181</v>
      </c>
      <c r="E2" s="17" t="s">
        <v>182</v>
      </c>
      <c r="F2" s="17" t="s">
        <v>183</v>
      </c>
      <c r="G2" s="17" t="s">
        <v>184</v>
      </c>
      <c r="H2" s="17" t="s">
        <v>185</v>
      </c>
      <c r="I2" s="17" t="s">
        <v>186</v>
      </c>
      <c r="J2" s="17" t="s">
        <v>187</v>
      </c>
      <c r="K2" s="17" t="s">
        <v>188</v>
      </c>
      <c r="L2" s="17" t="s">
        <v>189</v>
      </c>
      <c r="M2" s="17" t="s">
        <v>190</v>
      </c>
      <c r="N2" s="17" t="s">
        <v>191</v>
      </c>
      <c r="O2" s="17" t="s">
        <v>192</v>
      </c>
      <c r="P2" s="17" t="s">
        <v>193</v>
      </c>
      <c r="Q2" s="17" t="s">
        <v>194</v>
      </c>
      <c r="R2" s="17" t="s">
        <v>195</v>
      </c>
      <c r="S2" s="17" t="s">
        <v>196</v>
      </c>
      <c r="T2" s="17" t="s">
        <v>197</v>
      </c>
      <c r="U2" s="17" t="s">
        <v>198</v>
      </c>
      <c r="V2" s="17" t="s">
        <v>199</v>
      </c>
      <c r="W2" s="17" t="s">
        <v>200</v>
      </c>
      <c r="X2" s="16" t="s">
        <v>68</v>
      </c>
      <c r="Y2" s="17" t="s">
        <v>201</v>
      </c>
      <c r="Z2" s="17" t="s">
        <v>202</v>
      </c>
      <c r="AA2" s="17" t="s">
        <v>203</v>
      </c>
      <c r="AB2" s="17" t="s">
        <v>204</v>
      </c>
      <c r="AC2" s="17" t="s">
        <v>205</v>
      </c>
      <c r="AD2" s="17" t="s">
        <v>206</v>
      </c>
      <c r="AE2" s="17" t="s">
        <v>207</v>
      </c>
      <c r="AF2" s="17" t="s">
        <v>208</v>
      </c>
      <c r="AG2" s="17" t="s">
        <v>209</v>
      </c>
      <c r="AH2" s="16" t="s">
        <v>68</v>
      </c>
      <c r="AI2" s="17" t="s">
        <v>210</v>
      </c>
      <c r="AJ2" s="17" t="s">
        <v>211</v>
      </c>
      <c r="AK2" s="17" t="s">
        <v>212</v>
      </c>
      <c r="AL2" s="17" t="s">
        <v>213</v>
      </c>
      <c r="AM2" s="17" t="s">
        <v>214</v>
      </c>
      <c r="AN2" s="17" t="s">
        <v>215</v>
      </c>
      <c r="AO2" s="17" t="s">
        <v>216</v>
      </c>
      <c r="AP2" s="17" t="s">
        <v>217</v>
      </c>
      <c r="AQ2" s="17" t="s">
        <v>218</v>
      </c>
      <c r="AR2" s="16" t="s">
        <v>68</v>
      </c>
      <c r="AS2" s="17" t="s">
        <v>219</v>
      </c>
      <c r="AT2" s="16" t="s">
        <v>68</v>
      </c>
      <c r="AU2" s="17" t="s">
        <v>220</v>
      </c>
      <c r="AV2" s="16" t="s">
        <v>68</v>
      </c>
      <c r="AW2" s="17">
        <v>6</v>
      </c>
      <c r="AX2" s="16" t="s">
        <v>68</v>
      </c>
      <c r="AY2" s="17" t="s">
        <v>221</v>
      </c>
      <c r="AZ2" s="16" t="s">
        <v>68</v>
      </c>
      <c r="BA2" s="17" t="s">
        <v>222</v>
      </c>
      <c r="BB2" s="16" t="s">
        <v>68</v>
      </c>
      <c r="BC2" s="17" t="s">
        <v>223</v>
      </c>
      <c r="BD2" s="16" t="s">
        <v>68</v>
      </c>
      <c r="BE2" s="17" t="s">
        <v>224</v>
      </c>
      <c r="BF2" s="17" t="s">
        <v>225</v>
      </c>
      <c r="BG2" s="17" t="s">
        <v>226</v>
      </c>
      <c r="BH2" s="16" t="s">
        <v>68</v>
      </c>
      <c r="BI2" s="17" t="s">
        <v>227</v>
      </c>
      <c r="BJ2" s="17" t="s">
        <v>228</v>
      </c>
      <c r="BK2" s="17" t="s">
        <v>229</v>
      </c>
      <c r="BL2" s="16" t="s">
        <v>68</v>
      </c>
      <c r="BM2" s="17" t="s">
        <v>230</v>
      </c>
      <c r="BN2" s="17" t="s">
        <v>231</v>
      </c>
      <c r="BO2" s="17" t="s">
        <v>232</v>
      </c>
      <c r="BP2" s="17" t="s">
        <v>233</v>
      </c>
      <c r="BQ2" s="17" t="s">
        <v>234</v>
      </c>
      <c r="BR2" s="16" t="s">
        <v>68</v>
      </c>
      <c r="BS2" s="17" t="s">
        <v>235</v>
      </c>
    </row>
    <row r="3" spans="1:71" ht="15" thickBot="1">
      <c r="A3" s="16" t="s">
        <v>236</v>
      </c>
      <c r="B3" s="16">
        <v>4</v>
      </c>
      <c r="C3" s="16">
        <f t="shared" ref="C3:C30" si="0">2023.75-(B3/0.05)</f>
        <v>1943.75</v>
      </c>
      <c r="D3" s="17" t="s">
        <v>237</v>
      </c>
      <c r="E3" s="17" t="s">
        <v>238</v>
      </c>
      <c r="F3" s="16" t="s">
        <v>68</v>
      </c>
      <c r="G3" s="17" t="s">
        <v>239</v>
      </c>
      <c r="H3" s="17" t="s">
        <v>240</v>
      </c>
      <c r="I3" s="17" t="s">
        <v>241</v>
      </c>
      <c r="J3" s="17" t="s">
        <v>242</v>
      </c>
      <c r="K3" s="17" t="s">
        <v>243</v>
      </c>
      <c r="L3" s="17" t="s">
        <v>244</v>
      </c>
      <c r="M3" s="17" t="s">
        <v>245</v>
      </c>
      <c r="N3" s="17" t="s">
        <v>246</v>
      </c>
      <c r="O3" s="17" t="s">
        <v>247</v>
      </c>
      <c r="P3" s="17" t="s">
        <v>248</v>
      </c>
      <c r="Q3" s="17" t="s">
        <v>249</v>
      </c>
      <c r="R3" s="17" t="s">
        <v>250</v>
      </c>
      <c r="S3" s="17" t="s">
        <v>251</v>
      </c>
      <c r="T3" s="17" t="s">
        <v>252</v>
      </c>
      <c r="U3" s="17" t="s">
        <v>253</v>
      </c>
      <c r="V3" s="17" t="s">
        <v>254</v>
      </c>
      <c r="W3" s="17" t="s">
        <v>255</v>
      </c>
      <c r="X3" s="16" t="s">
        <v>68</v>
      </c>
      <c r="Y3" s="17" t="s">
        <v>256</v>
      </c>
      <c r="Z3" s="17" t="s">
        <v>257</v>
      </c>
      <c r="AA3" s="17" t="s">
        <v>258</v>
      </c>
      <c r="AB3" s="17" t="s">
        <v>259</v>
      </c>
      <c r="AC3" s="17" t="s">
        <v>260</v>
      </c>
      <c r="AD3" s="17" t="s">
        <v>261</v>
      </c>
      <c r="AE3" s="17" t="s">
        <v>262</v>
      </c>
      <c r="AF3" s="17" t="s">
        <v>263</v>
      </c>
      <c r="AG3" s="17" t="s">
        <v>264</v>
      </c>
      <c r="AH3" s="16" t="s">
        <v>68</v>
      </c>
      <c r="AI3" s="17" t="s">
        <v>265</v>
      </c>
      <c r="AJ3" s="17" t="s">
        <v>266</v>
      </c>
      <c r="AK3" s="17" t="s">
        <v>267</v>
      </c>
      <c r="AL3" s="17" t="s">
        <v>268</v>
      </c>
      <c r="AM3" s="17" t="s">
        <v>269</v>
      </c>
      <c r="AN3" s="17" t="s">
        <v>270</v>
      </c>
      <c r="AO3" s="17" t="s">
        <v>271</v>
      </c>
      <c r="AP3" s="17" t="s">
        <v>272</v>
      </c>
      <c r="AQ3" s="17" t="s">
        <v>273</v>
      </c>
      <c r="AR3" s="17" t="s">
        <v>274</v>
      </c>
      <c r="AS3" s="17" t="s">
        <v>275</v>
      </c>
      <c r="AT3" s="16" t="s">
        <v>68</v>
      </c>
      <c r="AU3" s="17" t="s">
        <v>276</v>
      </c>
      <c r="AV3" s="16" t="s">
        <v>68</v>
      </c>
      <c r="AW3" s="17" t="s">
        <v>277</v>
      </c>
      <c r="AX3" s="17" t="s">
        <v>278</v>
      </c>
      <c r="AY3" s="17" t="s">
        <v>279</v>
      </c>
      <c r="AZ3" s="16" t="s">
        <v>68</v>
      </c>
      <c r="BA3" s="17" t="s">
        <v>280</v>
      </c>
      <c r="BB3" s="17" t="s">
        <v>281</v>
      </c>
      <c r="BC3" s="17" t="s">
        <v>282</v>
      </c>
      <c r="BD3" s="17" t="s">
        <v>283</v>
      </c>
      <c r="BE3" s="17" t="s">
        <v>284</v>
      </c>
      <c r="BF3" s="17" t="s">
        <v>285</v>
      </c>
      <c r="BG3" s="17" t="s">
        <v>286</v>
      </c>
      <c r="BH3" s="16" t="s">
        <v>68</v>
      </c>
      <c r="BI3" s="17" t="s">
        <v>287</v>
      </c>
      <c r="BJ3" s="16" t="s">
        <v>68</v>
      </c>
      <c r="BK3" s="17" t="s">
        <v>288</v>
      </c>
      <c r="BL3" s="16" t="s">
        <v>68</v>
      </c>
      <c r="BM3" s="17" t="s">
        <v>289</v>
      </c>
      <c r="BN3" s="17" t="s">
        <v>290</v>
      </c>
      <c r="BO3" s="17" t="s">
        <v>291</v>
      </c>
      <c r="BP3" s="17" t="s">
        <v>292</v>
      </c>
      <c r="BQ3" s="17" t="s">
        <v>293</v>
      </c>
      <c r="BR3" s="16" t="s">
        <v>68</v>
      </c>
      <c r="BS3" s="17" t="s">
        <v>294</v>
      </c>
    </row>
    <row r="4" spans="1:71" ht="15" thickBot="1">
      <c r="A4" s="16" t="s">
        <v>295</v>
      </c>
      <c r="B4" s="16">
        <v>8</v>
      </c>
      <c r="C4" s="16">
        <f t="shared" si="0"/>
        <v>1863.75</v>
      </c>
      <c r="D4" s="17" t="s">
        <v>296</v>
      </c>
      <c r="E4" s="17" t="s">
        <v>297</v>
      </c>
      <c r="F4" s="16" t="s">
        <v>68</v>
      </c>
      <c r="G4" s="17" t="s">
        <v>298</v>
      </c>
      <c r="H4" s="17" t="s">
        <v>299</v>
      </c>
      <c r="I4" s="17" t="s">
        <v>300</v>
      </c>
      <c r="J4" s="16" t="s">
        <v>68</v>
      </c>
      <c r="K4" s="17" t="s">
        <v>301</v>
      </c>
      <c r="L4" s="17" t="s">
        <v>302</v>
      </c>
      <c r="M4" s="17" t="s">
        <v>303</v>
      </c>
      <c r="N4" s="17" t="s">
        <v>304</v>
      </c>
      <c r="O4" s="17" t="s">
        <v>305</v>
      </c>
      <c r="P4" s="17" t="s">
        <v>306</v>
      </c>
      <c r="Q4" s="17" t="s">
        <v>307</v>
      </c>
      <c r="R4" s="17" t="s">
        <v>308</v>
      </c>
      <c r="S4" s="17" t="s">
        <v>309</v>
      </c>
      <c r="T4" s="17" t="s">
        <v>310</v>
      </c>
      <c r="U4" s="17" t="s">
        <v>311</v>
      </c>
      <c r="V4" s="17" t="s">
        <v>312</v>
      </c>
      <c r="W4" s="17" t="s">
        <v>313</v>
      </c>
      <c r="X4" s="16" t="s">
        <v>68</v>
      </c>
      <c r="Y4" s="17" t="s">
        <v>314</v>
      </c>
      <c r="Z4" s="17" t="s">
        <v>315</v>
      </c>
      <c r="AA4" s="17" t="s">
        <v>316</v>
      </c>
      <c r="AB4" s="17" t="s">
        <v>317</v>
      </c>
      <c r="AC4" s="17" t="s">
        <v>318</v>
      </c>
      <c r="AD4" s="17" t="s">
        <v>319</v>
      </c>
      <c r="AE4" s="17" t="s">
        <v>320</v>
      </c>
      <c r="AF4" s="17">
        <v>24</v>
      </c>
      <c r="AG4" s="17" t="s">
        <v>321</v>
      </c>
      <c r="AH4" s="16" t="s">
        <v>68</v>
      </c>
      <c r="AI4" s="17" t="s">
        <v>322</v>
      </c>
      <c r="AJ4" s="17" t="s">
        <v>323</v>
      </c>
      <c r="AK4" s="17" t="s">
        <v>324</v>
      </c>
      <c r="AL4" s="17" t="s">
        <v>325</v>
      </c>
      <c r="AM4" s="17" t="s">
        <v>326</v>
      </c>
      <c r="AN4" s="17" t="s">
        <v>327</v>
      </c>
      <c r="AO4" s="17" t="s">
        <v>328</v>
      </c>
      <c r="AP4" s="17" t="s">
        <v>329</v>
      </c>
      <c r="AQ4" s="17" t="s">
        <v>330</v>
      </c>
      <c r="AR4" s="16" t="s">
        <v>68</v>
      </c>
      <c r="AS4" s="17" t="s">
        <v>331</v>
      </c>
      <c r="AT4" s="17" t="s">
        <v>332</v>
      </c>
      <c r="AU4" s="17" t="s">
        <v>333</v>
      </c>
      <c r="AV4" s="16" t="s">
        <v>68</v>
      </c>
      <c r="AW4" s="17" t="s">
        <v>334</v>
      </c>
      <c r="AX4" s="17" t="s">
        <v>335</v>
      </c>
      <c r="AY4" s="17" t="s">
        <v>336</v>
      </c>
      <c r="AZ4" s="16" t="s">
        <v>68</v>
      </c>
      <c r="BA4" s="17" t="s">
        <v>337</v>
      </c>
      <c r="BB4" s="17" t="s">
        <v>338</v>
      </c>
      <c r="BC4" s="17" t="s">
        <v>339</v>
      </c>
      <c r="BD4" s="17" t="s">
        <v>340</v>
      </c>
      <c r="BE4" s="17" t="s">
        <v>341</v>
      </c>
      <c r="BF4" s="17" t="s">
        <v>342</v>
      </c>
      <c r="BG4" s="17" t="s">
        <v>343</v>
      </c>
      <c r="BH4" s="16" t="s">
        <v>68</v>
      </c>
      <c r="BI4" s="17" t="s">
        <v>344</v>
      </c>
      <c r="BJ4" s="16" t="s">
        <v>68</v>
      </c>
      <c r="BK4" s="17" t="s">
        <v>345</v>
      </c>
      <c r="BL4" s="16" t="s">
        <v>68</v>
      </c>
      <c r="BM4" s="17">
        <v>5</v>
      </c>
      <c r="BN4" s="17" t="s">
        <v>346</v>
      </c>
      <c r="BO4" s="17" t="s">
        <v>347</v>
      </c>
      <c r="BP4" s="17" t="s">
        <v>348</v>
      </c>
      <c r="BQ4" s="17" t="s">
        <v>349</v>
      </c>
      <c r="BR4" s="16" t="s">
        <v>68</v>
      </c>
      <c r="BS4" s="17" t="s">
        <v>350</v>
      </c>
    </row>
    <row r="5" spans="1:71" ht="15" thickBot="1">
      <c r="A5" s="16" t="s">
        <v>351</v>
      </c>
      <c r="B5" s="16">
        <v>12</v>
      </c>
      <c r="C5" s="16">
        <f t="shared" si="0"/>
        <v>1783.75</v>
      </c>
      <c r="D5" s="17" t="s">
        <v>352</v>
      </c>
      <c r="E5" s="17" t="s">
        <v>353</v>
      </c>
      <c r="F5" s="16" t="s">
        <v>68</v>
      </c>
      <c r="G5" s="17" t="s">
        <v>354</v>
      </c>
      <c r="H5" s="17" t="s">
        <v>355</v>
      </c>
      <c r="I5" s="17" t="s">
        <v>356</v>
      </c>
      <c r="J5" s="16" t="s">
        <v>68</v>
      </c>
      <c r="K5" s="17" t="s">
        <v>357</v>
      </c>
      <c r="L5" s="17" t="s">
        <v>358</v>
      </c>
      <c r="M5" s="17" t="s">
        <v>359</v>
      </c>
      <c r="N5" s="17" t="s">
        <v>360</v>
      </c>
      <c r="O5" s="17" t="s">
        <v>361</v>
      </c>
      <c r="P5" s="17" t="s">
        <v>362</v>
      </c>
      <c r="Q5" s="17" t="s">
        <v>307</v>
      </c>
      <c r="R5" s="17" t="s">
        <v>363</v>
      </c>
      <c r="S5" s="17" t="s">
        <v>364</v>
      </c>
      <c r="T5" s="17" t="s">
        <v>365</v>
      </c>
      <c r="U5" s="17" t="s">
        <v>366</v>
      </c>
      <c r="V5" s="17" t="s">
        <v>367</v>
      </c>
      <c r="W5" s="17" t="s">
        <v>368</v>
      </c>
      <c r="X5" s="16" t="s">
        <v>68</v>
      </c>
      <c r="Y5" s="17" t="s">
        <v>369</v>
      </c>
      <c r="Z5" s="17" t="s">
        <v>370</v>
      </c>
      <c r="AA5" s="17" t="s">
        <v>371</v>
      </c>
      <c r="AB5" s="16" t="s">
        <v>68</v>
      </c>
      <c r="AC5" s="17" t="s">
        <v>372</v>
      </c>
      <c r="AD5" s="17" t="s">
        <v>373</v>
      </c>
      <c r="AE5" s="17" t="s">
        <v>374</v>
      </c>
      <c r="AF5" s="17" t="s">
        <v>375</v>
      </c>
      <c r="AG5" s="17">
        <v>4</v>
      </c>
      <c r="AH5" s="16" t="s">
        <v>68</v>
      </c>
      <c r="AI5" s="17" t="s">
        <v>322</v>
      </c>
      <c r="AJ5" s="17" t="s">
        <v>376</v>
      </c>
      <c r="AK5" s="17" t="s">
        <v>377</v>
      </c>
      <c r="AL5" s="17" t="s">
        <v>378</v>
      </c>
      <c r="AM5" s="17" t="s">
        <v>379</v>
      </c>
      <c r="AN5" s="17" t="s">
        <v>380</v>
      </c>
      <c r="AO5" s="17" t="s">
        <v>381</v>
      </c>
      <c r="AP5" s="17" t="s">
        <v>382</v>
      </c>
      <c r="AQ5" s="17" t="s">
        <v>330</v>
      </c>
      <c r="AR5" s="16" t="s">
        <v>68</v>
      </c>
      <c r="AS5" s="17" t="s">
        <v>383</v>
      </c>
      <c r="AT5" s="16" t="s">
        <v>68</v>
      </c>
      <c r="AU5" s="17" t="s">
        <v>384</v>
      </c>
      <c r="AV5" s="16" t="s">
        <v>68</v>
      </c>
      <c r="AW5" s="17" t="s">
        <v>385</v>
      </c>
      <c r="AX5" s="17" t="s">
        <v>386</v>
      </c>
      <c r="AY5" s="17">
        <v>3</v>
      </c>
      <c r="AZ5" s="16" t="s">
        <v>68</v>
      </c>
      <c r="BA5" s="17" t="s">
        <v>387</v>
      </c>
      <c r="BB5" s="16" t="s">
        <v>68</v>
      </c>
      <c r="BC5" s="17" t="s">
        <v>388</v>
      </c>
      <c r="BD5" s="17" t="s">
        <v>389</v>
      </c>
      <c r="BE5" s="17" t="s">
        <v>390</v>
      </c>
      <c r="BF5" s="17" t="s">
        <v>391</v>
      </c>
      <c r="BG5" s="17" t="s">
        <v>392</v>
      </c>
      <c r="BH5" s="16" t="s">
        <v>68</v>
      </c>
      <c r="BI5" s="17" t="s">
        <v>393</v>
      </c>
      <c r="BJ5" s="16" t="s">
        <v>68</v>
      </c>
      <c r="BK5" s="17" t="s">
        <v>394</v>
      </c>
      <c r="BL5" s="17" t="s">
        <v>395</v>
      </c>
      <c r="BM5" s="17" t="s">
        <v>396</v>
      </c>
      <c r="BN5" s="17" t="s">
        <v>397</v>
      </c>
      <c r="BO5" s="17" t="s">
        <v>398</v>
      </c>
      <c r="BP5" s="17" t="s">
        <v>399</v>
      </c>
      <c r="BQ5" s="17" t="s">
        <v>400</v>
      </c>
      <c r="BR5" s="16" t="s">
        <v>68</v>
      </c>
      <c r="BS5" s="17" t="s">
        <v>401</v>
      </c>
    </row>
    <row r="6" spans="1:71" ht="15" thickBot="1">
      <c r="A6" s="16" t="s">
        <v>402</v>
      </c>
      <c r="B6" s="16">
        <v>16</v>
      </c>
      <c r="C6" s="16">
        <f t="shared" si="0"/>
        <v>1703.75</v>
      </c>
      <c r="D6" s="17" t="s">
        <v>403</v>
      </c>
      <c r="E6" s="17" t="s">
        <v>404</v>
      </c>
      <c r="F6" s="16" t="s">
        <v>68</v>
      </c>
      <c r="G6" s="17" t="s">
        <v>405</v>
      </c>
      <c r="H6" s="17" t="s">
        <v>406</v>
      </c>
      <c r="I6" s="17" t="s">
        <v>407</v>
      </c>
      <c r="J6" s="17" t="s">
        <v>408</v>
      </c>
      <c r="K6" s="17" t="s">
        <v>409</v>
      </c>
      <c r="L6" s="17" t="s">
        <v>410</v>
      </c>
      <c r="M6" s="17" t="s">
        <v>411</v>
      </c>
      <c r="N6" s="17" t="s">
        <v>412</v>
      </c>
      <c r="O6" s="17" t="s">
        <v>413</v>
      </c>
      <c r="P6" s="17" t="s">
        <v>414</v>
      </c>
      <c r="Q6" s="17" t="s">
        <v>415</v>
      </c>
      <c r="R6" s="17" t="s">
        <v>416</v>
      </c>
      <c r="S6" s="17" t="s">
        <v>260</v>
      </c>
      <c r="T6" s="17" t="s">
        <v>417</v>
      </c>
      <c r="U6" s="17" t="s">
        <v>418</v>
      </c>
      <c r="V6" s="17" t="s">
        <v>419</v>
      </c>
      <c r="W6" s="17" t="s">
        <v>420</v>
      </c>
      <c r="X6" s="16" t="s">
        <v>68</v>
      </c>
      <c r="Y6" s="17" t="s">
        <v>421</v>
      </c>
      <c r="Z6" s="17" t="s">
        <v>422</v>
      </c>
      <c r="AA6" s="17" t="s">
        <v>423</v>
      </c>
      <c r="AB6" s="16" t="s">
        <v>68</v>
      </c>
      <c r="AC6" s="17" t="s">
        <v>424</v>
      </c>
      <c r="AD6" s="17" t="s">
        <v>425</v>
      </c>
      <c r="AE6" s="17" t="s">
        <v>426</v>
      </c>
      <c r="AF6" s="17" t="s">
        <v>427</v>
      </c>
      <c r="AG6" s="17">
        <v>3</v>
      </c>
      <c r="AH6" s="16" t="s">
        <v>68</v>
      </c>
      <c r="AI6" s="17" t="s">
        <v>428</v>
      </c>
      <c r="AJ6" s="17" t="s">
        <v>429</v>
      </c>
      <c r="AK6" s="17" t="s">
        <v>430</v>
      </c>
      <c r="AL6" s="17" t="s">
        <v>431</v>
      </c>
      <c r="AM6" s="17" t="s">
        <v>432</v>
      </c>
      <c r="AN6" s="17" t="s">
        <v>433</v>
      </c>
      <c r="AO6" s="17" t="s">
        <v>434</v>
      </c>
      <c r="AP6" s="17" t="s">
        <v>435</v>
      </c>
      <c r="AQ6" s="17" t="s">
        <v>269</v>
      </c>
      <c r="AR6" s="16" t="s">
        <v>68</v>
      </c>
      <c r="AS6" s="17" t="s">
        <v>436</v>
      </c>
      <c r="AT6" s="16" t="s">
        <v>68</v>
      </c>
      <c r="AU6" s="17" t="s">
        <v>437</v>
      </c>
      <c r="AV6" s="16" t="s">
        <v>68</v>
      </c>
      <c r="AW6" s="17" t="s">
        <v>438</v>
      </c>
      <c r="AX6" s="16" t="s">
        <v>68</v>
      </c>
      <c r="AY6" s="17" t="s">
        <v>439</v>
      </c>
      <c r="AZ6" s="16" t="s">
        <v>68</v>
      </c>
      <c r="BA6" s="17" t="s">
        <v>440</v>
      </c>
      <c r="BB6" s="16" t="s">
        <v>68</v>
      </c>
      <c r="BC6" s="17" t="s">
        <v>441</v>
      </c>
      <c r="BD6" s="16" t="s">
        <v>68</v>
      </c>
      <c r="BE6" s="17" t="s">
        <v>442</v>
      </c>
      <c r="BF6" s="17" t="s">
        <v>443</v>
      </c>
      <c r="BG6" s="17" t="s">
        <v>444</v>
      </c>
      <c r="BH6" s="16" t="s">
        <v>68</v>
      </c>
      <c r="BI6" s="17" t="s">
        <v>445</v>
      </c>
      <c r="BJ6" s="17" t="s">
        <v>394</v>
      </c>
      <c r="BK6" s="17" t="s">
        <v>446</v>
      </c>
      <c r="BL6" s="16" t="s">
        <v>68</v>
      </c>
      <c r="BM6" s="17" t="s">
        <v>447</v>
      </c>
      <c r="BN6" s="17" t="s">
        <v>448</v>
      </c>
      <c r="BO6" s="17" t="s">
        <v>345</v>
      </c>
      <c r="BP6" s="17" t="s">
        <v>449</v>
      </c>
      <c r="BQ6" s="17" t="s">
        <v>400</v>
      </c>
      <c r="BR6" s="16" t="s">
        <v>68</v>
      </c>
      <c r="BS6" s="17" t="s">
        <v>398</v>
      </c>
    </row>
    <row r="7" spans="1:71" ht="15" thickBot="1">
      <c r="A7" s="16" t="s">
        <v>450</v>
      </c>
      <c r="B7" s="16">
        <v>20</v>
      </c>
      <c r="C7" s="16">
        <f t="shared" si="0"/>
        <v>1623.75</v>
      </c>
      <c r="D7" s="17" t="s">
        <v>451</v>
      </c>
      <c r="E7" s="17" t="s">
        <v>452</v>
      </c>
      <c r="F7" s="16" t="s">
        <v>68</v>
      </c>
      <c r="G7" s="17" t="s">
        <v>453</v>
      </c>
      <c r="H7" s="17" t="s">
        <v>454</v>
      </c>
      <c r="I7" s="17" t="s">
        <v>455</v>
      </c>
      <c r="J7" s="17" t="s">
        <v>456</v>
      </c>
      <c r="K7" s="17" t="s">
        <v>457</v>
      </c>
      <c r="L7" s="16" t="s">
        <v>68</v>
      </c>
      <c r="M7" s="17" t="s">
        <v>458</v>
      </c>
      <c r="N7" s="17" t="s">
        <v>459</v>
      </c>
      <c r="O7" s="17" t="s">
        <v>460</v>
      </c>
      <c r="P7" s="17">
        <v>145</v>
      </c>
      <c r="Q7" s="17" t="s">
        <v>461</v>
      </c>
      <c r="R7" s="17" t="s">
        <v>462</v>
      </c>
      <c r="S7" s="17" t="s">
        <v>463</v>
      </c>
      <c r="T7" s="17" t="s">
        <v>464</v>
      </c>
      <c r="U7" s="17" t="s">
        <v>465</v>
      </c>
      <c r="V7" s="17" t="s">
        <v>466</v>
      </c>
      <c r="W7" s="17" t="s">
        <v>467</v>
      </c>
      <c r="X7" s="16" t="s">
        <v>68</v>
      </c>
      <c r="Y7" s="17" t="s">
        <v>468</v>
      </c>
      <c r="Z7" s="17" t="s">
        <v>469</v>
      </c>
      <c r="AA7" s="17" t="s">
        <v>470</v>
      </c>
      <c r="AB7" s="16" t="s">
        <v>68</v>
      </c>
      <c r="AC7" s="17" t="s">
        <v>471</v>
      </c>
      <c r="AD7" s="17" t="s">
        <v>472</v>
      </c>
      <c r="AE7" s="17" t="s">
        <v>473</v>
      </c>
      <c r="AF7" s="17" t="s">
        <v>474</v>
      </c>
      <c r="AG7" s="17" t="s">
        <v>475</v>
      </c>
      <c r="AH7" s="16" t="s">
        <v>68</v>
      </c>
      <c r="AI7" s="17" t="s">
        <v>322</v>
      </c>
      <c r="AJ7" s="17" t="s">
        <v>476</v>
      </c>
      <c r="AK7" s="17" t="s">
        <v>477</v>
      </c>
      <c r="AL7" s="17" t="s">
        <v>478</v>
      </c>
      <c r="AM7" s="17" t="s">
        <v>479</v>
      </c>
      <c r="AN7" s="17" t="s">
        <v>480</v>
      </c>
      <c r="AO7" s="17" t="s">
        <v>481</v>
      </c>
      <c r="AP7" s="17" t="s">
        <v>441</v>
      </c>
      <c r="AQ7" s="17" t="s">
        <v>482</v>
      </c>
      <c r="AR7" s="16" t="s">
        <v>68</v>
      </c>
      <c r="AS7" s="17" t="s">
        <v>483</v>
      </c>
      <c r="AT7" s="16" t="s">
        <v>68</v>
      </c>
      <c r="AU7" s="17" t="s">
        <v>484</v>
      </c>
      <c r="AV7" s="16" t="s">
        <v>68</v>
      </c>
      <c r="AW7" s="17" t="s">
        <v>485</v>
      </c>
      <c r="AX7" s="17" t="s">
        <v>486</v>
      </c>
      <c r="AY7" s="17" t="s">
        <v>487</v>
      </c>
      <c r="AZ7" s="16" t="s">
        <v>68</v>
      </c>
      <c r="BA7" s="17" t="s">
        <v>488</v>
      </c>
      <c r="BB7" s="16" t="s">
        <v>68</v>
      </c>
      <c r="BC7" s="17" t="s">
        <v>489</v>
      </c>
      <c r="BD7" s="16" t="s">
        <v>68</v>
      </c>
      <c r="BE7" s="17" t="s">
        <v>490</v>
      </c>
      <c r="BF7" s="17" t="s">
        <v>491</v>
      </c>
      <c r="BG7" s="17" t="s">
        <v>492</v>
      </c>
      <c r="BH7" s="16" t="s">
        <v>68</v>
      </c>
      <c r="BI7" s="17" t="s">
        <v>493</v>
      </c>
      <c r="BJ7" s="16" t="s">
        <v>68</v>
      </c>
      <c r="BK7" s="17" t="s">
        <v>494</v>
      </c>
      <c r="BL7" s="16" t="s">
        <v>68</v>
      </c>
      <c r="BM7" s="17" t="s">
        <v>495</v>
      </c>
      <c r="BN7" s="17" t="s">
        <v>496</v>
      </c>
      <c r="BO7" s="17" t="s">
        <v>497</v>
      </c>
      <c r="BP7" s="17" t="s">
        <v>498</v>
      </c>
      <c r="BQ7" s="17" t="s">
        <v>499</v>
      </c>
      <c r="BR7" s="16" t="s">
        <v>68</v>
      </c>
      <c r="BS7" s="17" t="s">
        <v>500</v>
      </c>
    </row>
    <row r="8" spans="1:71" ht="15" thickBot="1">
      <c r="A8" s="16" t="s">
        <v>501</v>
      </c>
      <c r="B8" s="16">
        <v>26</v>
      </c>
      <c r="C8" s="16">
        <f t="shared" si="0"/>
        <v>1503.75</v>
      </c>
      <c r="D8" s="17" t="s">
        <v>502</v>
      </c>
      <c r="E8" s="17" t="s">
        <v>503</v>
      </c>
      <c r="F8" s="16" t="s">
        <v>68</v>
      </c>
      <c r="G8" s="17" t="s">
        <v>504</v>
      </c>
      <c r="H8" s="17" t="s">
        <v>505</v>
      </c>
      <c r="I8" s="17" t="s">
        <v>506</v>
      </c>
      <c r="J8" s="16" t="s">
        <v>68</v>
      </c>
      <c r="K8" s="17" t="s">
        <v>507</v>
      </c>
      <c r="L8" s="17" t="s">
        <v>508</v>
      </c>
      <c r="M8" s="17" t="s">
        <v>509</v>
      </c>
      <c r="N8" s="17" t="s">
        <v>510</v>
      </c>
      <c r="O8" s="17" t="s">
        <v>511</v>
      </c>
      <c r="P8" s="17" t="s">
        <v>512</v>
      </c>
      <c r="Q8" s="17" t="s">
        <v>513</v>
      </c>
      <c r="R8" s="17" t="s">
        <v>514</v>
      </c>
      <c r="S8" s="17">
        <v>7</v>
      </c>
      <c r="T8" s="17" t="s">
        <v>515</v>
      </c>
      <c r="U8" s="17" t="s">
        <v>516</v>
      </c>
      <c r="V8" s="17" t="s">
        <v>517</v>
      </c>
      <c r="W8" s="17" t="s">
        <v>518</v>
      </c>
      <c r="X8" s="16" t="s">
        <v>68</v>
      </c>
      <c r="Y8" s="17" t="s">
        <v>519</v>
      </c>
      <c r="Z8" s="17" t="s">
        <v>520</v>
      </c>
      <c r="AA8" s="17" t="s">
        <v>521</v>
      </c>
      <c r="AB8" s="17" t="s">
        <v>522</v>
      </c>
      <c r="AC8" s="17" t="s">
        <v>364</v>
      </c>
      <c r="AD8" s="17" t="s">
        <v>523</v>
      </c>
      <c r="AE8" s="17" t="s">
        <v>426</v>
      </c>
      <c r="AF8" s="17" t="s">
        <v>524</v>
      </c>
      <c r="AG8" s="17" t="s">
        <v>279</v>
      </c>
      <c r="AH8" s="16" t="s">
        <v>68</v>
      </c>
      <c r="AI8" s="17" t="s">
        <v>428</v>
      </c>
      <c r="AJ8" s="17" t="s">
        <v>525</v>
      </c>
      <c r="AK8" s="17" t="s">
        <v>526</v>
      </c>
      <c r="AL8" s="17" t="s">
        <v>527</v>
      </c>
      <c r="AM8" s="17" t="s">
        <v>528</v>
      </c>
      <c r="AN8" s="17" t="s">
        <v>529</v>
      </c>
      <c r="AO8" s="17" t="s">
        <v>530</v>
      </c>
      <c r="AP8" s="17" t="s">
        <v>531</v>
      </c>
      <c r="AQ8" s="17" t="s">
        <v>532</v>
      </c>
      <c r="AR8" s="16" t="s">
        <v>68</v>
      </c>
      <c r="AS8" s="17" t="s">
        <v>533</v>
      </c>
      <c r="AT8" s="17" t="s">
        <v>534</v>
      </c>
      <c r="AU8" s="17" t="s">
        <v>535</v>
      </c>
      <c r="AV8" s="16" t="s">
        <v>68</v>
      </c>
      <c r="AW8" s="17">
        <v>6</v>
      </c>
      <c r="AX8" s="16" t="s">
        <v>68</v>
      </c>
      <c r="AY8" s="17" t="s">
        <v>426</v>
      </c>
      <c r="AZ8" s="16" t="s">
        <v>68</v>
      </c>
      <c r="BA8" s="17" t="s">
        <v>222</v>
      </c>
      <c r="BB8" s="17" t="s">
        <v>536</v>
      </c>
      <c r="BC8" s="17" t="s">
        <v>537</v>
      </c>
      <c r="BD8" s="17" t="s">
        <v>538</v>
      </c>
      <c r="BE8" s="17" t="s">
        <v>341</v>
      </c>
      <c r="BF8" s="17" t="s">
        <v>539</v>
      </c>
      <c r="BG8" s="17" t="s">
        <v>540</v>
      </c>
      <c r="BH8" s="17" t="s">
        <v>541</v>
      </c>
      <c r="BI8" s="17" t="s">
        <v>542</v>
      </c>
      <c r="BJ8" s="16" t="s">
        <v>68</v>
      </c>
      <c r="BK8" s="17" t="s">
        <v>543</v>
      </c>
      <c r="BL8" s="16" t="s">
        <v>68</v>
      </c>
      <c r="BM8" s="17" t="s">
        <v>232</v>
      </c>
      <c r="BN8" s="17" t="s">
        <v>544</v>
      </c>
      <c r="BO8" s="17" t="s">
        <v>494</v>
      </c>
      <c r="BP8" s="17" t="s">
        <v>545</v>
      </c>
      <c r="BQ8" s="17" t="s">
        <v>546</v>
      </c>
      <c r="BR8" s="16" t="s">
        <v>68</v>
      </c>
      <c r="BS8" s="17" t="s">
        <v>439</v>
      </c>
    </row>
    <row r="9" spans="1:71" ht="15" thickBot="1">
      <c r="A9" s="16" t="s">
        <v>547</v>
      </c>
      <c r="B9" s="16">
        <v>32</v>
      </c>
      <c r="C9" s="16">
        <f t="shared" si="0"/>
        <v>1383.75</v>
      </c>
      <c r="D9" s="17" t="s">
        <v>548</v>
      </c>
      <c r="E9" s="17" t="s">
        <v>549</v>
      </c>
      <c r="F9" s="16" t="s">
        <v>68</v>
      </c>
      <c r="G9" s="17" t="s">
        <v>550</v>
      </c>
      <c r="H9" s="17" t="s">
        <v>551</v>
      </c>
      <c r="I9" s="17" t="s">
        <v>552</v>
      </c>
      <c r="J9" s="17" t="s">
        <v>553</v>
      </c>
      <c r="K9" s="17" t="s">
        <v>554</v>
      </c>
      <c r="L9" s="17" t="s">
        <v>555</v>
      </c>
      <c r="M9" s="17" t="s">
        <v>556</v>
      </c>
      <c r="N9" s="17" t="s">
        <v>557</v>
      </c>
      <c r="O9" s="17" t="s">
        <v>558</v>
      </c>
      <c r="P9" s="17" t="s">
        <v>559</v>
      </c>
      <c r="Q9" s="17" t="s">
        <v>560</v>
      </c>
      <c r="R9" s="17" t="s">
        <v>561</v>
      </c>
      <c r="S9" s="17" t="s">
        <v>562</v>
      </c>
      <c r="T9" s="17" t="s">
        <v>563</v>
      </c>
      <c r="U9" s="17" t="s">
        <v>564</v>
      </c>
      <c r="V9" s="17" t="s">
        <v>565</v>
      </c>
      <c r="W9" s="17" t="s">
        <v>566</v>
      </c>
      <c r="X9" s="16" t="s">
        <v>68</v>
      </c>
      <c r="Y9" s="17" t="s">
        <v>567</v>
      </c>
      <c r="Z9" s="17" t="s">
        <v>568</v>
      </c>
      <c r="AA9" s="17" t="s">
        <v>569</v>
      </c>
      <c r="AB9" s="16" t="s">
        <v>68</v>
      </c>
      <c r="AC9" s="17" t="s">
        <v>570</v>
      </c>
      <c r="AD9" s="17" t="s">
        <v>571</v>
      </c>
      <c r="AE9" s="17" t="s">
        <v>572</v>
      </c>
      <c r="AF9" s="17" t="s">
        <v>573</v>
      </c>
      <c r="AG9" s="17" t="s">
        <v>434</v>
      </c>
      <c r="AH9" s="16" t="s">
        <v>68</v>
      </c>
      <c r="AI9" s="17" t="s">
        <v>428</v>
      </c>
      <c r="AJ9" s="17" t="s">
        <v>574</v>
      </c>
      <c r="AK9" s="17" t="s">
        <v>575</v>
      </c>
      <c r="AL9" s="17" t="s">
        <v>576</v>
      </c>
      <c r="AM9" s="17" t="s">
        <v>324</v>
      </c>
      <c r="AN9" s="17" t="s">
        <v>577</v>
      </c>
      <c r="AO9" s="17" t="s">
        <v>578</v>
      </c>
      <c r="AP9" s="17" t="s">
        <v>579</v>
      </c>
      <c r="AQ9" s="17" t="s">
        <v>482</v>
      </c>
      <c r="AR9" s="16" t="s">
        <v>68</v>
      </c>
      <c r="AS9" s="17" t="s">
        <v>580</v>
      </c>
      <c r="AT9" s="16" t="s">
        <v>68</v>
      </c>
      <c r="AU9" s="17" t="s">
        <v>276</v>
      </c>
      <c r="AV9" s="16" t="s">
        <v>68</v>
      </c>
      <c r="AW9" s="17" t="s">
        <v>335</v>
      </c>
      <c r="AX9" s="16" t="s">
        <v>68</v>
      </c>
      <c r="AY9" s="17" t="s">
        <v>581</v>
      </c>
      <c r="AZ9" s="16" t="s">
        <v>68</v>
      </c>
      <c r="BA9" s="17" t="s">
        <v>582</v>
      </c>
      <c r="BB9" s="16" t="s">
        <v>68</v>
      </c>
      <c r="BC9" s="17" t="s">
        <v>583</v>
      </c>
      <c r="BD9" s="16" t="s">
        <v>68</v>
      </c>
      <c r="BE9" s="17" t="s">
        <v>221</v>
      </c>
      <c r="BF9" s="17" t="s">
        <v>584</v>
      </c>
      <c r="BG9" s="17" t="s">
        <v>585</v>
      </c>
      <c r="BH9" s="16" t="s">
        <v>68</v>
      </c>
      <c r="BI9" s="17" t="s">
        <v>586</v>
      </c>
      <c r="BJ9" s="16" t="s">
        <v>68</v>
      </c>
      <c r="BK9" s="17" t="s">
        <v>347</v>
      </c>
      <c r="BL9" s="16" t="s">
        <v>68</v>
      </c>
      <c r="BM9" s="17" t="s">
        <v>447</v>
      </c>
      <c r="BN9" s="17" t="s">
        <v>587</v>
      </c>
      <c r="BO9" s="17" t="s">
        <v>588</v>
      </c>
      <c r="BP9" s="17" t="s">
        <v>589</v>
      </c>
      <c r="BQ9" s="17" t="s">
        <v>267</v>
      </c>
      <c r="BR9" s="17" t="s">
        <v>590</v>
      </c>
      <c r="BS9" s="17" t="s">
        <v>591</v>
      </c>
    </row>
    <row r="10" spans="1:71" ht="15" thickBot="1">
      <c r="A10" s="16" t="s">
        <v>592</v>
      </c>
      <c r="B10" s="16">
        <v>38</v>
      </c>
      <c r="C10" s="16">
        <f t="shared" si="0"/>
        <v>1263.75</v>
      </c>
      <c r="D10" s="17" t="s">
        <v>593</v>
      </c>
      <c r="E10" s="17" t="s">
        <v>594</v>
      </c>
      <c r="F10" s="16" t="s">
        <v>68</v>
      </c>
      <c r="G10" s="17" t="s">
        <v>595</v>
      </c>
      <c r="H10" s="17" t="s">
        <v>596</v>
      </c>
      <c r="I10" s="17" t="s">
        <v>597</v>
      </c>
      <c r="J10" s="17" t="s">
        <v>598</v>
      </c>
      <c r="K10" s="17" t="s">
        <v>599</v>
      </c>
      <c r="L10" s="17" t="s">
        <v>600</v>
      </c>
      <c r="M10" s="17" t="s">
        <v>537</v>
      </c>
      <c r="N10" s="17" t="s">
        <v>601</v>
      </c>
      <c r="O10" s="17" t="s">
        <v>602</v>
      </c>
      <c r="P10" s="17" t="s">
        <v>603</v>
      </c>
      <c r="Q10" s="17" t="s">
        <v>604</v>
      </c>
      <c r="R10" s="17" t="s">
        <v>605</v>
      </c>
      <c r="S10" s="17" t="s">
        <v>337</v>
      </c>
      <c r="T10" s="17" t="s">
        <v>606</v>
      </c>
      <c r="U10" s="17" t="s">
        <v>607</v>
      </c>
      <c r="V10" s="17" t="s">
        <v>608</v>
      </c>
      <c r="W10" s="17" t="s">
        <v>609</v>
      </c>
      <c r="X10" s="16" t="s">
        <v>68</v>
      </c>
      <c r="Y10" s="17" t="s">
        <v>610</v>
      </c>
      <c r="Z10" s="17" t="s">
        <v>611</v>
      </c>
      <c r="AA10" s="17" t="s">
        <v>612</v>
      </c>
      <c r="AB10" s="16" t="s">
        <v>68</v>
      </c>
      <c r="AC10" s="17" t="s">
        <v>613</v>
      </c>
      <c r="AD10" s="17" t="s">
        <v>462</v>
      </c>
      <c r="AE10" s="17" t="s">
        <v>614</v>
      </c>
      <c r="AF10" s="17" t="s">
        <v>615</v>
      </c>
      <c r="AG10" s="17" t="s">
        <v>390</v>
      </c>
      <c r="AH10" s="16" t="s">
        <v>68</v>
      </c>
      <c r="AI10" s="17" t="s">
        <v>400</v>
      </c>
      <c r="AJ10" s="17" t="s">
        <v>616</v>
      </c>
      <c r="AK10" s="17" t="s">
        <v>617</v>
      </c>
      <c r="AL10" s="17" t="s">
        <v>618</v>
      </c>
      <c r="AM10" s="17" t="s">
        <v>324</v>
      </c>
      <c r="AN10" s="17" t="s">
        <v>619</v>
      </c>
      <c r="AO10" s="17" t="s">
        <v>620</v>
      </c>
      <c r="AP10" s="17" t="s">
        <v>621</v>
      </c>
      <c r="AQ10" s="17" t="s">
        <v>622</v>
      </c>
      <c r="AR10" s="16" t="s">
        <v>68</v>
      </c>
      <c r="AS10" s="17" t="s">
        <v>533</v>
      </c>
      <c r="AT10" s="16" t="s">
        <v>68</v>
      </c>
      <c r="AU10" s="17" t="s">
        <v>623</v>
      </c>
      <c r="AV10" s="16" t="s">
        <v>68</v>
      </c>
      <c r="AW10" s="17" t="s">
        <v>624</v>
      </c>
      <c r="AX10" s="16" t="s">
        <v>68</v>
      </c>
      <c r="AY10" s="17" t="s">
        <v>533</v>
      </c>
      <c r="AZ10" s="16" t="s">
        <v>68</v>
      </c>
      <c r="BA10" s="17" t="s">
        <v>625</v>
      </c>
      <c r="BB10" s="16" t="s">
        <v>68</v>
      </c>
      <c r="BC10" s="17" t="s">
        <v>626</v>
      </c>
      <c r="BD10" s="16" t="s">
        <v>68</v>
      </c>
      <c r="BE10" s="17" t="s">
        <v>398</v>
      </c>
      <c r="BF10" s="17" t="s">
        <v>627</v>
      </c>
      <c r="BG10" s="17" t="s">
        <v>628</v>
      </c>
      <c r="BH10" s="16" t="s">
        <v>68</v>
      </c>
      <c r="BI10" s="17" t="s">
        <v>445</v>
      </c>
      <c r="BJ10" s="16" t="s">
        <v>68</v>
      </c>
      <c r="BK10" s="17" t="s">
        <v>629</v>
      </c>
      <c r="BL10" s="16" t="s">
        <v>68</v>
      </c>
      <c r="BM10" s="17" t="s">
        <v>630</v>
      </c>
      <c r="BN10" s="17" t="s">
        <v>631</v>
      </c>
      <c r="BO10" s="17" t="s">
        <v>632</v>
      </c>
      <c r="BP10" s="17" t="s">
        <v>633</v>
      </c>
      <c r="BQ10" s="17" t="s">
        <v>400</v>
      </c>
      <c r="BR10" s="17" t="s">
        <v>335</v>
      </c>
      <c r="BS10" s="17" t="s">
        <v>634</v>
      </c>
    </row>
    <row r="11" spans="1:71" ht="15" thickBot="1">
      <c r="A11" s="16" t="s">
        <v>635</v>
      </c>
      <c r="B11" s="16">
        <v>44</v>
      </c>
      <c r="C11" s="16">
        <f t="shared" si="0"/>
        <v>1143.75</v>
      </c>
      <c r="D11" s="17" t="s">
        <v>636</v>
      </c>
      <c r="E11" s="17" t="s">
        <v>637</v>
      </c>
      <c r="F11" s="16" t="s">
        <v>68</v>
      </c>
      <c r="G11" s="17" t="s">
        <v>638</v>
      </c>
      <c r="H11" s="17" t="s">
        <v>639</v>
      </c>
      <c r="I11" s="17" t="s">
        <v>640</v>
      </c>
      <c r="J11" s="16" t="s">
        <v>68</v>
      </c>
      <c r="K11" s="17" t="s">
        <v>641</v>
      </c>
      <c r="L11" s="17" t="s">
        <v>642</v>
      </c>
      <c r="M11" s="17" t="s">
        <v>643</v>
      </c>
      <c r="N11" s="17" t="s">
        <v>644</v>
      </c>
      <c r="O11" s="17" t="s">
        <v>645</v>
      </c>
      <c r="P11" s="17" t="s">
        <v>646</v>
      </c>
      <c r="Q11" s="17" t="s">
        <v>223</v>
      </c>
      <c r="R11" s="17" t="s">
        <v>647</v>
      </c>
      <c r="S11" s="17" t="s">
        <v>222</v>
      </c>
      <c r="T11" s="17" t="s">
        <v>648</v>
      </c>
      <c r="U11" s="17" t="s">
        <v>649</v>
      </c>
      <c r="V11" s="17" t="s">
        <v>650</v>
      </c>
      <c r="W11" s="17" t="s">
        <v>651</v>
      </c>
      <c r="X11" s="16" t="s">
        <v>68</v>
      </c>
      <c r="Y11" s="17" t="s">
        <v>652</v>
      </c>
      <c r="Z11" s="17" t="s">
        <v>653</v>
      </c>
      <c r="AA11" s="17" t="s">
        <v>654</v>
      </c>
      <c r="AB11" s="16" t="s">
        <v>68</v>
      </c>
      <c r="AC11" s="17" t="s">
        <v>471</v>
      </c>
      <c r="AD11" s="17" t="s">
        <v>655</v>
      </c>
      <c r="AE11" s="17" t="s">
        <v>580</v>
      </c>
      <c r="AF11" s="17" t="s">
        <v>656</v>
      </c>
      <c r="AG11" s="17" t="s">
        <v>396</v>
      </c>
      <c r="AH11" s="16" t="s">
        <v>68</v>
      </c>
      <c r="AI11" s="17" t="s">
        <v>657</v>
      </c>
      <c r="AJ11" s="17" t="s">
        <v>658</v>
      </c>
      <c r="AK11" s="17" t="s">
        <v>535</v>
      </c>
      <c r="AL11" s="17" t="s">
        <v>659</v>
      </c>
      <c r="AM11" s="17" t="s">
        <v>660</v>
      </c>
      <c r="AN11" s="17" t="s">
        <v>661</v>
      </c>
      <c r="AO11" s="17" t="s">
        <v>662</v>
      </c>
      <c r="AP11" s="17" t="s">
        <v>663</v>
      </c>
      <c r="AQ11" s="17" t="s">
        <v>664</v>
      </c>
      <c r="AR11" s="16" t="s">
        <v>68</v>
      </c>
      <c r="AS11" s="17" t="s">
        <v>219</v>
      </c>
      <c r="AT11" s="16" t="s">
        <v>68</v>
      </c>
      <c r="AU11" s="17" t="s">
        <v>665</v>
      </c>
      <c r="AV11" s="16" t="s">
        <v>68</v>
      </c>
      <c r="AW11" s="17" t="s">
        <v>666</v>
      </c>
      <c r="AX11" s="16" t="s">
        <v>68</v>
      </c>
      <c r="AY11" s="17" t="s">
        <v>383</v>
      </c>
      <c r="AZ11" s="16" t="s">
        <v>68</v>
      </c>
      <c r="BA11" s="17" t="s">
        <v>667</v>
      </c>
      <c r="BB11" s="16" t="s">
        <v>68</v>
      </c>
      <c r="BC11" s="17" t="s">
        <v>668</v>
      </c>
      <c r="BD11" s="16" t="s">
        <v>68</v>
      </c>
      <c r="BE11" s="17" t="s">
        <v>669</v>
      </c>
      <c r="BF11" s="17" t="s">
        <v>670</v>
      </c>
      <c r="BG11" s="17" t="s">
        <v>671</v>
      </c>
      <c r="BH11" s="16" t="s">
        <v>68</v>
      </c>
      <c r="BI11" s="17" t="s">
        <v>672</v>
      </c>
      <c r="BJ11" s="16" t="s">
        <v>68</v>
      </c>
      <c r="BK11" s="17" t="s">
        <v>591</v>
      </c>
      <c r="BL11" s="16" t="s">
        <v>68</v>
      </c>
      <c r="BM11" s="17" t="s">
        <v>630</v>
      </c>
      <c r="BN11" s="17" t="s">
        <v>673</v>
      </c>
      <c r="BO11" s="17" t="s">
        <v>674</v>
      </c>
      <c r="BP11" s="17" t="s">
        <v>675</v>
      </c>
      <c r="BQ11" s="17" t="s">
        <v>428</v>
      </c>
      <c r="BR11" s="17" t="s">
        <v>676</v>
      </c>
      <c r="BS11" s="17" t="s">
        <v>494</v>
      </c>
    </row>
    <row r="12" spans="1:71" ht="15" thickBot="1">
      <c r="A12" s="16" t="s">
        <v>677</v>
      </c>
      <c r="B12" s="16">
        <v>52</v>
      </c>
      <c r="C12" s="16">
        <f t="shared" si="0"/>
        <v>983.75</v>
      </c>
      <c r="D12" s="17" t="s">
        <v>678</v>
      </c>
      <c r="E12" s="17" t="s">
        <v>679</v>
      </c>
      <c r="F12" s="16" t="s">
        <v>68</v>
      </c>
      <c r="G12" s="17" t="s">
        <v>680</v>
      </c>
      <c r="H12" s="17" t="s">
        <v>681</v>
      </c>
      <c r="I12" s="17" t="s">
        <v>682</v>
      </c>
      <c r="J12" s="17" t="s">
        <v>683</v>
      </c>
      <c r="K12" s="17" t="s">
        <v>684</v>
      </c>
      <c r="L12" s="17" t="s">
        <v>685</v>
      </c>
      <c r="M12" s="17" t="s">
        <v>686</v>
      </c>
      <c r="N12" s="17" t="s">
        <v>687</v>
      </c>
      <c r="O12" s="17" t="s">
        <v>688</v>
      </c>
      <c r="P12" s="17" t="s">
        <v>689</v>
      </c>
      <c r="Q12" s="17" t="s">
        <v>690</v>
      </c>
      <c r="R12" s="17" t="s">
        <v>691</v>
      </c>
      <c r="S12" s="17" t="s">
        <v>692</v>
      </c>
      <c r="T12" s="17" t="s">
        <v>693</v>
      </c>
      <c r="U12" s="17" t="s">
        <v>694</v>
      </c>
      <c r="V12" s="17" t="s">
        <v>695</v>
      </c>
      <c r="W12" s="17" t="s">
        <v>696</v>
      </c>
      <c r="X12" s="16" t="s">
        <v>68</v>
      </c>
      <c r="Y12" s="17" t="s">
        <v>697</v>
      </c>
      <c r="Z12" s="16" t="s">
        <v>68</v>
      </c>
      <c r="AA12" s="17" t="s">
        <v>698</v>
      </c>
      <c r="AB12" s="17" t="s">
        <v>699</v>
      </c>
      <c r="AC12" s="17" t="s">
        <v>700</v>
      </c>
      <c r="AD12" s="17" t="s">
        <v>701</v>
      </c>
      <c r="AE12" s="17" t="s">
        <v>702</v>
      </c>
      <c r="AF12" s="17" t="s">
        <v>519</v>
      </c>
      <c r="AG12" s="17" t="s">
        <v>401</v>
      </c>
      <c r="AH12" s="16" t="s">
        <v>68</v>
      </c>
      <c r="AI12" s="17" t="s">
        <v>703</v>
      </c>
      <c r="AJ12" s="17" t="s">
        <v>704</v>
      </c>
      <c r="AK12" s="17" t="s">
        <v>705</v>
      </c>
      <c r="AL12" s="17" t="s">
        <v>706</v>
      </c>
      <c r="AM12" s="17" t="s">
        <v>479</v>
      </c>
      <c r="AN12" s="17" t="s">
        <v>707</v>
      </c>
      <c r="AO12" s="17" t="s">
        <v>708</v>
      </c>
      <c r="AP12" s="17" t="s">
        <v>709</v>
      </c>
      <c r="AQ12" s="17" t="s">
        <v>532</v>
      </c>
      <c r="AR12" s="16" t="s">
        <v>68</v>
      </c>
      <c r="AS12" s="17" t="s">
        <v>398</v>
      </c>
      <c r="AT12" s="16" t="s">
        <v>68</v>
      </c>
      <c r="AU12" s="17" t="s">
        <v>437</v>
      </c>
      <c r="AV12" s="16" t="s">
        <v>68</v>
      </c>
      <c r="AW12" s="17" t="s">
        <v>710</v>
      </c>
      <c r="AX12" s="16" t="s">
        <v>68</v>
      </c>
      <c r="AY12" s="17" t="s">
        <v>669</v>
      </c>
      <c r="AZ12" s="16" t="s">
        <v>68</v>
      </c>
      <c r="BA12" s="17" t="s">
        <v>711</v>
      </c>
      <c r="BB12" s="16" t="s">
        <v>68</v>
      </c>
      <c r="BC12" s="17" t="s">
        <v>712</v>
      </c>
      <c r="BD12" s="16" t="s">
        <v>68</v>
      </c>
      <c r="BE12" s="17" t="s">
        <v>713</v>
      </c>
      <c r="BF12" s="17" t="s">
        <v>714</v>
      </c>
      <c r="BG12" s="17" t="s">
        <v>715</v>
      </c>
      <c r="BH12" s="16" t="s">
        <v>68</v>
      </c>
      <c r="BI12" s="17" t="s">
        <v>716</v>
      </c>
      <c r="BJ12" s="16" t="s">
        <v>68</v>
      </c>
      <c r="BK12" s="17" t="s">
        <v>620</v>
      </c>
      <c r="BL12" s="16" t="s">
        <v>68</v>
      </c>
      <c r="BM12" s="17">
        <v>5</v>
      </c>
      <c r="BN12" s="17" t="s">
        <v>717</v>
      </c>
      <c r="BO12" s="17" t="s">
        <v>436</v>
      </c>
      <c r="BP12" s="17" t="s">
        <v>718</v>
      </c>
      <c r="BQ12" s="17" t="s">
        <v>719</v>
      </c>
      <c r="BR12" s="17" t="s">
        <v>720</v>
      </c>
      <c r="BS12" s="17" t="s">
        <v>721</v>
      </c>
    </row>
    <row r="13" spans="1:71" ht="15" thickBot="1">
      <c r="A13" s="16" t="s">
        <v>722</v>
      </c>
      <c r="B13" s="16">
        <v>58</v>
      </c>
      <c r="C13" s="16">
        <f t="shared" si="0"/>
        <v>863.75</v>
      </c>
      <c r="D13" s="17" t="s">
        <v>723</v>
      </c>
      <c r="E13" s="17" t="s">
        <v>724</v>
      </c>
      <c r="F13" s="16" t="s">
        <v>68</v>
      </c>
      <c r="G13" s="17" t="s">
        <v>725</v>
      </c>
      <c r="H13" s="17" t="s">
        <v>726</v>
      </c>
      <c r="I13" s="17" t="s">
        <v>727</v>
      </c>
      <c r="J13" s="17" t="s">
        <v>728</v>
      </c>
      <c r="K13" s="17" t="s">
        <v>729</v>
      </c>
      <c r="L13" s="17" t="s">
        <v>730</v>
      </c>
      <c r="M13" s="17" t="s">
        <v>731</v>
      </c>
      <c r="N13" s="17" t="s">
        <v>732</v>
      </c>
      <c r="O13" s="17" t="s">
        <v>733</v>
      </c>
      <c r="P13" s="17" t="s">
        <v>734</v>
      </c>
      <c r="Q13" s="17" t="s">
        <v>735</v>
      </c>
      <c r="R13" s="17" t="s">
        <v>645</v>
      </c>
      <c r="S13" s="17" t="s">
        <v>736</v>
      </c>
      <c r="T13" s="17" t="s">
        <v>737</v>
      </c>
      <c r="U13" s="17" t="s">
        <v>738</v>
      </c>
      <c r="V13" s="17" t="s">
        <v>739</v>
      </c>
      <c r="W13" s="17" t="s">
        <v>740</v>
      </c>
      <c r="X13" s="16" t="s">
        <v>68</v>
      </c>
      <c r="Y13" s="17" t="s">
        <v>741</v>
      </c>
      <c r="Z13" s="17" t="s">
        <v>742</v>
      </c>
      <c r="AA13" s="17" t="s">
        <v>743</v>
      </c>
      <c r="AB13" s="17" t="s">
        <v>744</v>
      </c>
      <c r="AC13" s="17" t="s">
        <v>745</v>
      </c>
      <c r="AD13" s="17" t="s">
        <v>746</v>
      </c>
      <c r="AE13" s="17" t="s">
        <v>232</v>
      </c>
      <c r="AF13" s="17" t="s">
        <v>747</v>
      </c>
      <c r="AG13" s="17" t="s">
        <v>748</v>
      </c>
      <c r="AH13" s="16" t="s">
        <v>68</v>
      </c>
      <c r="AI13" s="17" t="s">
        <v>749</v>
      </c>
      <c r="AJ13" s="17" t="s">
        <v>750</v>
      </c>
      <c r="AK13" s="17" t="s">
        <v>275</v>
      </c>
      <c r="AL13" s="17" t="s">
        <v>751</v>
      </c>
      <c r="AM13" s="17" t="s">
        <v>752</v>
      </c>
      <c r="AN13" s="17" t="s">
        <v>753</v>
      </c>
      <c r="AO13" s="17" t="s">
        <v>394</v>
      </c>
      <c r="AP13" s="17" t="s">
        <v>754</v>
      </c>
      <c r="AQ13" s="17" t="s">
        <v>330</v>
      </c>
      <c r="AR13" s="16" t="s">
        <v>68</v>
      </c>
      <c r="AS13" s="17" t="s">
        <v>490</v>
      </c>
      <c r="AT13" s="16" t="s">
        <v>68</v>
      </c>
      <c r="AU13" s="17" t="s">
        <v>755</v>
      </c>
      <c r="AV13" s="16" t="s">
        <v>68</v>
      </c>
      <c r="AW13" s="17" t="s">
        <v>756</v>
      </c>
      <c r="AX13" s="16" t="s">
        <v>68</v>
      </c>
      <c r="AY13" s="17" t="s">
        <v>757</v>
      </c>
      <c r="AZ13" s="16" t="s">
        <v>68</v>
      </c>
      <c r="BA13" s="17" t="s">
        <v>196</v>
      </c>
      <c r="BB13" s="16" t="s">
        <v>68</v>
      </c>
      <c r="BC13" s="17" t="s">
        <v>758</v>
      </c>
      <c r="BD13" s="16" t="s">
        <v>68</v>
      </c>
      <c r="BE13" s="17" t="s">
        <v>759</v>
      </c>
      <c r="BF13" s="17" t="s">
        <v>760</v>
      </c>
      <c r="BG13" s="17" t="s">
        <v>761</v>
      </c>
      <c r="BH13" s="16" t="s">
        <v>68</v>
      </c>
      <c r="BI13" s="17" t="s">
        <v>762</v>
      </c>
      <c r="BJ13" s="17" t="s">
        <v>763</v>
      </c>
      <c r="BK13" s="17" t="s">
        <v>752</v>
      </c>
      <c r="BL13" s="16" t="s">
        <v>68</v>
      </c>
      <c r="BM13" s="17" t="s">
        <v>764</v>
      </c>
      <c r="BN13" s="17" t="s">
        <v>765</v>
      </c>
      <c r="BO13" s="17" t="s">
        <v>530</v>
      </c>
      <c r="BP13" s="17" t="s">
        <v>766</v>
      </c>
      <c r="BQ13" s="17" t="s">
        <v>767</v>
      </c>
      <c r="BR13" s="17" t="s">
        <v>768</v>
      </c>
      <c r="BS13" s="17" t="s">
        <v>620</v>
      </c>
    </row>
    <row r="14" spans="1:71" ht="15" thickBot="1">
      <c r="A14" s="16" t="s">
        <v>769</v>
      </c>
      <c r="B14" s="16">
        <v>64</v>
      </c>
      <c r="C14" s="16">
        <f t="shared" si="0"/>
        <v>743.75</v>
      </c>
      <c r="D14" s="17" t="s">
        <v>770</v>
      </c>
      <c r="E14" s="17" t="s">
        <v>771</v>
      </c>
      <c r="F14" s="16" t="s">
        <v>68</v>
      </c>
      <c r="G14" s="17" t="s">
        <v>772</v>
      </c>
      <c r="H14" s="17" t="s">
        <v>773</v>
      </c>
      <c r="I14" s="17" t="s">
        <v>774</v>
      </c>
      <c r="J14" s="17" t="s">
        <v>775</v>
      </c>
      <c r="K14" s="17" t="s">
        <v>776</v>
      </c>
      <c r="L14" s="17" t="s">
        <v>777</v>
      </c>
      <c r="M14" s="17" t="s">
        <v>778</v>
      </c>
      <c r="N14" s="17" t="s">
        <v>779</v>
      </c>
      <c r="O14" s="17" t="s">
        <v>780</v>
      </c>
      <c r="P14" s="17" t="s">
        <v>781</v>
      </c>
      <c r="Q14" s="17" t="s">
        <v>782</v>
      </c>
      <c r="R14" s="17" t="s">
        <v>783</v>
      </c>
      <c r="S14" s="17" t="s">
        <v>784</v>
      </c>
      <c r="T14" s="17" t="s">
        <v>785</v>
      </c>
      <c r="U14" s="17" t="s">
        <v>786</v>
      </c>
      <c r="V14" s="17" t="s">
        <v>787</v>
      </c>
      <c r="W14" s="17" t="s">
        <v>788</v>
      </c>
      <c r="X14" s="16" t="s">
        <v>68</v>
      </c>
      <c r="Y14" s="17" t="s">
        <v>789</v>
      </c>
      <c r="Z14" s="17" t="s">
        <v>790</v>
      </c>
      <c r="AA14" s="17" t="s">
        <v>791</v>
      </c>
      <c r="AB14" s="17" t="s">
        <v>792</v>
      </c>
      <c r="AC14" s="17" t="s">
        <v>793</v>
      </c>
      <c r="AD14" s="17" t="s">
        <v>794</v>
      </c>
      <c r="AE14" s="17" t="s">
        <v>795</v>
      </c>
      <c r="AF14" s="17" t="s">
        <v>796</v>
      </c>
      <c r="AG14" s="17" t="s">
        <v>209</v>
      </c>
      <c r="AH14" s="16" t="s">
        <v>68</v>
      </c>
      <c r="AI14" s="17" t="s">
        <v>797</v>
      </c>
      <c r="AJ14" s="17" t="s">
        <v>798</v>
      </c>
      <c r="AK14" s="17" t="s">
        <v>799</v>
      </c>
      <c r="AL14" s="17" t="s">
        <v>800</v>
      </c>
      <c r="AM14" s="17" t="s">
        <v>801</v>
      </c>
      <c r="AN14" s="17" t="s">
        <v>802</v>
      </c>
      <c r="AO14" s="17" t="s">
        <v>705</v>
      </c>
      <c r="AP14" s="17" t="s">
        <v>803</v>
      </c>
      <c r="AQ14" s="17" t="s">
        <v>804</v>
      </c>
      <c r="AR14" s="16" t="s">
        <v>68</v>
      </c>
      <c r="AS14" s="17" t="s">
        <v>805</v>
      </c>
      <c r="AT14" s="16" t="s">
        <v>68</v>
      </c>
      <c r="AU14" s="17" t="s">
        <v>221</v>
      </c>
      <c r="AV14" s="16" t="s">
        <v>68</v>
      </c>
      <c r="AW14" s="17" t="s">
        <v>806</v>
      </c>
      <c r="AX14" s="16" t="s">
        <v>68</v>
      </c>
      <c r="AY14" s="17" t="s">
        <v>289</v>
      </c>
      <c r="AZ14" s="16" t="s">
        <v>68</v>
      </c>
      <c r="BA14" s="17" t="s">
        <v>807</v>
      </c>
      <c r="BB14" s="16" t="s">
        <v>68</v>
      </c>
      <c r="BC14" s="17" t="s">
        <v>808</v>
      </c>
      <c r="BD14" s="16" t="s">
        <v>68</v>
      </c>
      <c r="BE14" s="17" t="s">
        <v>809</v>
      </c>
      <c r="BF14" s="17" t="s">
        <v>810</v>
      </c>
      <c r="BG14" s="17" t="s">
        <v>811</v>
      </c>
      <c r="BH14" s="16" t="s">
        <v>68</v>
      </c>
      <c r="BI14" s="17" t="s">
        <v>812</v>
      </c>
      <c r="BJ14" s="17" t="s">
        <v>813</v>
      </c>
      <c r="BK14" s="17" t="s">
        <v>814</v>
      </c>
      <c r="BL14" s="16" t="s">
        <v>68</v>
      </c>
      <c r="BM14" s="17" t="s">
        <v>274</v>
      </c>
      <c r="BN14" s="17" t="s">
        <v>815</v>
      </c>
      <c r="BO14" s="17" t="s">
        <v>816</v>
      </c>
      <c r="BP14" s="17" t="s">
        <v>817</v>
      </c>
      <c r="BQ14" s="17" t="s">
        <v>703</v>
      </c>
      <c r="BR14" s="17" t="s">
        <v>818</v>
      </c>
      <c r="BS14" s="17" t="s">
        <v>434</v>
      </c>
    </row>
    <row r="15" spans="1:71" ht="15" thickBot="1">
      <c r="A15" s="16" t="s">
        <v>819</v>
      </c>
      <c r="B15" s="16">
        <v>70</v>
      </c>
      <c r="C15" s="16">
        <f t="shared" si="0"/>
        <v>623.75</v>
      </c>
      <c r="D15" s="17" t="s">
        <v>820</v>
      </c>
      <c r="E15" s="17" t="s">
        <v>821</v>
      </c>
      <c r="F15" s="16" t="s">
        <v>68</v>
      </c>
      <c r="G15" s="17" t="s">
        <v>822</v>
      </c>
      <c r="H15" s="17" t="s">
        <v>823</v>
      </c>
      <c r="I15" s="17" t="s">
        <v>824</v>
      </c>
      <c r="J15" s="17" t="s">
        <v>825</v>
      </c>
      <c r="K15" s="17">
        <v>109</v>
      </c>
      <c r="L15" s="17" t="s">
        <v>826</v>
      </c>
      <c r="M15" s="17" t="s">
        <v>827</v>
      </c>
      <c r="N15" s="17" t="s">
        <v>828</v>
      </c>
      <c r="O15" s="17" t="s">
        <v>829</v>
      </c>
      <c r="P15" s="17" t="s">
        <v>830</v>
      </c>
      <c r="Q15" s="17" t="s">
        <v>831</v>
      </c>
      <c r="R15" s="17" t="s">
        <v>832</v>
      </c>
      <c r="S15" s="17" t="s">
        <v>833</v>
      </c>
      <c r="T15" s="17" t="s">
        <v>834</v>
      </c>
      <c r="U15" s="17" t="s">
        <v>835</v>
      </c>
      <c r="V15" s="17" t="s">
        <v>836</v>
      </c>
      <c r="W15" s="17" t="s">
        <v>837</v>
      </c>
      <c r="X15" s="16" t="s">
        <v>68</v>
      </c>
      <c r="Y15" s="17" t="s">
        <v>838</v>
      </c>
      <c r="Z15" s="17" t="s">
        <v>839</v>
      </c>
      <c r="AA15" s="17" t="s">
        <v>840</v>
      </c>
      <c r="AB15" s="17" t="s">
        <v>841</v>
      </c>
      <c r="AC15" s="17" t="s">
        <v>793</v>
      </c>
      <c r="AD15" s="17" t="s">
        <v>842</v>
      </c>
      <c r="AE15" s="17" t="s">
        <v>843</v>
      </c>
      <c r="AF15" s="17" t="s">
        <v>844</v>
      </c>
      <c r="AG15" s="17" t="s">
        <v>530</v>
      </c>
      <c r="AH15" s="16" t="s">
        <v>68</v>
      </c>
      <c r="AI15" s="17" t="s">
        <v>660</v>
      </c>
      <c r="AJ15" s="17" t="s">
        <v>845</v>
      </c>
      <c r="AK15" s="17" t="s">
        <v>341</v>
      </c>
      <c r="AL15" s="17" t="s">
        <v>846</v>
      </c>
      <c r="AM15" s="17" t="s">
        <v>847</v>
      </c>
      <c r="AN15" s="17" t="s">
        <v>848</v>
      </c>
      <c r="AO15" s="17" t="s">
        <v>543</v>
      </c>
      <c r="AP15" s="17" t="s">
        <v>849</v>
      </c>
      <c r="AQ15" s="17" t="s">
        <v>850</v>
      </c>
      <c r="AR15" s="16" t="s">
        <v>68</v>
      </c>
      <c r="AS15" s="17" t="s">
        <v>851</v>
      </c>
      <c r="AT15" s="16" t="s">
        <v>68</v>
      </c>
      <c r="AU15" s="17" t="s">
        <v>483</v>
      </c>
      <c r="AV15" s="16" t="s">
        <v>68</v>
      </c>
      <c r="AW15" s="17" t="s">
        <v>852</v>
      </c>
      <c r="AX15" s="16" t="s">
        <v>68</v>
      </c>
      <c r="AY15" s="17" t="s">
        <v>853</v>
      </c>
      <c r="AZ15" s="16" t="s">
        <v>68</v>
      </c>
      <c r="BA15" s="17" t="s">
        <v>854</v>
      </c>
      <c r="BB15" s="16" t="s">
        <v>68</v>
      </c>
      <c r="BC15" s="17" t="s">
        <v>761</v>
      </c>
      <c r="BD15" s="16" t="s">
        <v>68</v>
      </c>
      <c r="BE15" s="17" t="s">
        <v>855</v>
      </c>
      <c r="BF15" s="17" t="s">
        <v>856</v>
      </c>
      <c r="BG15" s="17" t="s">
        <v>857</v>
      </c>
      <c r="BH15" s="16" t="s">
        <v>68</v>
      </c>
      <c r="BI15" s="17" t="s">
        <v>858</v>
      </c>
      <c r="BJ15" s="16" t="s">
        <v>68</v>
      </c>
      <c r="BK15" s="17" t="s">
        <v>434</v>
      </c>
      <c r="BL15" s="16" t="s">
        <v>68</v>
      </c>
      <c r="BM15" s="17" t="s">
        <v>859</v>
      </c>
      <c r="BN15" s="17" t="s">
        <v>860</v>
      </c>
      <c r="BO15" s="17" t="s">
        <v>487</v>
      </c>
      <c r="BP15" s="17" t="s">
        <v>861</v>
      </c>
      <c r="BQ15" s="17" t="s">
        <v>432</v>
      </c>
      <c r="BR15" s="17" t="s">
        <v>862</v>
      </c>
      <c r="BS15" s="17" t="s">
        <v>863</v>
      </c>
    </row>
    <row r="16" spans="1:71" ht="15" thickBot="1">
      <c r="A16" s="16" t="s">
        <v>864</v>
      </c>
      <c r="B16" s="16">
        <v>74</v>
      </c>
      <c r="C16" s="16">
        <f t="shared" si="0"/>
        <v>543.75</v>
      </c>
      <c r="D16" s="17" t="s">
        <v>865</v>
      </c>
      <c r="E16" s="17" t="s">
        <v>866</v>
      </c>
      <c r="F16" s="16" t="s">
        <v>68</v>
      </c>
      <c r="G16" s="17" t="s">
        <v>867</v>
      </c>
      <c r="H16" s="17" t="s">
        <v>868</v>
      </c>
      <c r="I16" s="17" t="s">
        <v>869</v>
      </c>
      <c r="J16" s="17" t="s">
        <v>870</v>
      </c>
      <c r="K16" s="17" t="s">
        <v>871</v>
      </c>
      <c r="L16" s="17" t="s">
        <v>607</v>
      </c>
      <c r="M16" s="17" t="s">
        <v>872</v>
      </c>
      <c r="N16" s="17" t="s">
        <v>873</v>
      </c>
      <c r="O16" s="17" t="s">
        <v>874</v>
      </c>
      <c r="P16" s="17" t="s">
        <v>875</v>
      </c>
      <c r="Q16" s="17" t="s">
        <v>876</v>
      </c>
      <c r="R16" s="17" t="s">
        <v>877</v>
      </c>
      <c r="S16" s="17" t="s">
        <v>878</v>
      </c>
      <c r="T16" s="17" t="s">
        <v>879</v>
      </c>
      <c r="U16" s="17" t="s">
        <v>880</v>
      </c>
      <c r="V16" s="17" t="s">
        <v>881</v>
      </c>
      <c r="W16" s="17" t="s">
        <v>882</v>
      </c>
      <c r="X16" s="16" t="s">
        <v>68</v>
      </c>
      <c r="Y16" s="17" t="s">
        <v>883</v>
      </c>
      <c r="Z16" s="17" t="s">
        <v>884</v>
      </c>
      <c r="AA16" s="17" t="s">
        <v>885</v>
      </c>
      <c r="AB16" s="17" t="s">
        <v>886</v>
      </c>
      <c r="AC16" s="17" t="s">
        <v>887</v>
      </c>
      <c r="AD16" s="17" t="s">
        <v>888</v>
      </c>
      <c r="AE16" s="17" t="s">
        <v>889</v>
      </c>
      <c r="AF16" s="17" t="s">
        <v>890</v>
      </c>
      <c r="AG16" s="17" t="s">
        <v>396</v>
      </c>
      <c r="AH16" s="16" t="s">
        <v>68</v>
      </c>
      <c r="AI16" s="17" t="s">
        <v>234</v>
      </c>
      <c r="AJ16" s="17" t="s">
        <v>891</v>
      </c>
      <c r="AK16" s="17" t="s">
        <v>336</v>
      </c>
      <c r="AL16" s="17" t="s">
        <v>892</v>
      </c>
      <c r="AM16" s="17" t="s">
        <v>893</v>
      </c>
      <c r="AN16" s="17" t="s">
        <v>894</v>
      </c>
      <c r="AO16" s="17" t="s">
        <v>895</v>
      </c>
      <c r="AP16" s="17" t="s">
        <v>896</v>
      </c>
      <c r="AQ16" s="17" t="s">
        <v>850</v>
      </c>
      <c r="AR16" s="16" t="s">
        <v>68</v>
      </c>
      <c r="AS16" s="17" t="s">
        <v>897</v>
      </c>
      <c r="AT16" s="16" t="s">
        <v>68</v>
      </c>
      <c r="AU16" s="17" t="s">
        <v>533</v>
      </c>
      <c r="AV16" s="16" t="s">
        <v>68</v>
      </c>
      <c r="AW16" s="17" t="s">
        <v>272</v>
      </c>
      <c r="AX16" s="16" t="s">
        <v>68</v>
      </c>
      <c r="AY16" s="17" t="s">
        <v>898</v>
      </c>
      <c r="AZ16" s="16" t="s">
        <v>68</v>
      </c>
      <c r="BA16" s="17" t="s">
        <v>899</v>
      </c>
      <c r="BB16" s="16" t="s">
        <v>68</v>
      </c>
      <c r="BC16" s="17" t="s">
        <v>900</v>
      </c>
      <c r="BD16" s="17" t="s">
        <v>901</v>
      </c>
      <c r="BE16" s="17" t="s">
        <v>396</v>
      </c>
      <c r="BF16" s="17" t="s">
        <v>902</v>
      </c>
      <c r="BG16" s="17" t="s">
        <v>903</v>
      </c>
      <c r="BH16" s="16" t="s">
        <v>68</v>
      </c>
      <c r="BI16" s="17" t="s">
        <v>904</v>
      </c>
      <c r="BJ16" s="16" t="s">
        <v>68</v>
      </c>
      <c r="BK16" s="17" t="s">
        <v>905</v>
      </c>
      <c r="BL16" s="16" t="s">
        <v>68</v>
      </c>
      <c r="BM16" s="17" t="s">
        <v>395</v>
      </c>
      <c r="BN16" s="17" t="s">
        <v>906</v>
      </c>
      <c r="BO16" s="17" t="s">
        <v>390</v>
      </c>
      <c r="BP16" s="17" t="s">
        <v>907</v>
      </c>
      <c r="BQ16" s="17" t="s">
        <v>322</v>
      </c>
      <c r="BR16" s="17" t="s">
        <v>908</v>
      </c>
      <c r="BS16" s="17" t="s">
        <v>909</v>
      </c>
    </row>
    <row r="17" spans="1:71" ht="15" thickBot="1">
      <c r="A17" s="16" t="s">
        <v>910</v>
      </c>
      <c r="B17" s="16">
        <v>80</v>
      </c>
      <c r="C17" s="16">
        <f t="shared" si="0"/>
        <v>423.75</v>
      </c>
      <c r="D17" s="17" t="s">
        <v>911</v>
      </c>
      <c r="E17" s="17" t="s">
        <v>912</v>
      </c>
      <c r="F17" s="16" t="s">
        <v>68</v>
      </c>
      <c r="G17" s="17" t="s">
        <v>913</v>
      </c>
      <c r="H17" s="17" t="s">
        <v>914</v>
      </c>
      <c r="I17" s="17" t="s">
        <v>915</v>
      </c>
      <c r="J17" s="17" t="s">
        <v>916</v>
      </c>
      <c r="K17" s="17" t="s">
        <v>917</v>
      </c>
      <c r="L17" s="17" t="s">
        <v>918</v>
      </c>
      <c r="M17" s="17" t="s">
        <v>919</v>
      </c>
      <c r="N17" s="17" t="s">
        <v>920</v>
      </c>
      <c r="O17" s="17" t="s">
        <v>921</v>
      </c>
      <c r="P17" s="17" t="s">
        <v>922</v>
      </c>
      <c r="Q17" s="17" t="s">
        <v>923</v>
      </c>
      <c r="R17" s="17" t="s">
        <v>924</v>
      </c>
      <c r="S17" s="17" t="s">
        <v>925</v>
      </c>
      <c r="T17" s="17" t="s">
        <v>926</v>
      </c>
      <c r="U17" s="17" t="s">
        <v>927</v>
      </c>
      <c r="V17" s="17" t="s">
        <v>928</v>
      </c>
      <c r="W17" s="17" t="s">
        <v>929</v>
      </c>
      <c r="X17" s="16" t="s">
        <v>68</v>
      </c>
      <c r="Y17" s="17" t="s">
        <v>930</v>
      </c>
      <c r="Z17" s="17" t="s">
        <v>931</v>
      </c>
      <c r="AA17" s="17" t="s">
        <v>932</v>
      </c>
      <c r="AB17" s="17" t="s">
        <v>933</v>
      </c>
      <c r="AC17" s="17" t="s">
        <v>205</v>
      </c>
      <c r="AD17" s="17" t="s">
        <v>934</v>
      </c>
      <c r="AE17" s="17" t="s">
        <v>935</v>
      </c>
      <c r="AF17" s="17" t="s">
        <v>936</v>
      </c>
      <c r="AG17" s="17" t="s">
        <v>279</v>
      </c>
      <c r="AH17" s="16" t="s">
        <v>68</v>
      </c>
      <c r="AI17" s="17" t="s">
        <v>937</v>
      </c>
      <c r="AJ17" s="17" t="s">
        <v>938</v>
      </c>
      <c r="AK17" s="17" t="s">
        <v>279</v>
      </c>
      <c r="AL17" s="17" t="s">
        <v>939</v>
      </c>
      <c r="AM17" s="17" t="s">
        <v>660</v>
      </c>
      <c r="AN17" s="17" t="s">
        <v>940</v>
      </c>
      <c r="AO17" s="17" t="s">
        <v>591</v>
      </c>
      <c r="AP17" s="17" t="s">
        <v>941</v>
      </c>
      <c r="AQ17" s="17" t="s">
        <v>942</v>
      </c>
      <c r="AR17" s="16" t="s">
        <v>68</v>
      </c>
      <c r="AS17" s="17" t="s">
        <v>943</v>
      </c>
      <c r="AT17" s="16" t="s">
        <v>68</v>
      </c>
      <c r="AU17" s="17" t="s">
        <v>944</v>
      </c>
      <c r="AV17" s="16" t="s">
        <v>68</v>
      </c>
      <c r="AW17" s="17" t="s">
        <v>945</v>
      </c>
      <c r="AX17" s="16" t="s">
        <v>68</v>
      </c>
      <c r="AY17" s="17" t="s">
        <v>946</v>
      </c>
      <c r="AZ17" s="16" t="s">
        <v>68</v>
      </c>
      <c r="BA17" s="17" t="s">
        <v>463</v>
      </c>
      <c r="BB17" s="16" t="s">
        <v>68</v>
      </c>
      <c r="BC17" s="17" t="s">
        <v>947</v>
      </c>
      <c r="BD17" s="16" t="s">
        <v>68</v>
      </c>
      <c r="BE17" s="17" t="s">
        <v>948</v>
      </c>
      <c r="BF17" s="17" t="s">
        <v>949</v>
      </c>
      <c r="BG17" s="17" t="s">
        <v>950</v>
      </c>
      <c r="BH17" s="16" t="s">
        <v>68</v>
      </c>
      <c r="BI17" s="17" t="s">
        <v>951</v>
      </c>
      <c r="BJ17" s="16" t="s">
        <v>68</v>
      </c>
      <c r="BK17" s="17" t="s">
        <v>662</v>
      </c>
      <c r="BL17" s="16" t="s">
        <v>68</v>
      </c>
      <c r="BM17" s="17" t="s">
        <v>952</v>
      </c>
      <c r="BN17" s="17" t="s">
        <v>953</v>
      </c>
      <c r="BO17" s="17" t="s">
        <v>629</v>
      </c>
      <c r="BP17" s="17" t="s">
        <v>954</v>
      </c>
      <c r="BQ17" s="17" t="s">
        <v>955</v>
      </c>
      <c r="BR17" s="17" t="s">
        <v>956</v>
      </c>
      <c r="BS17" s="17" t="s">
        <v>957</v>
      </c>
    </row>
    <row r="18" spans="1:71" ht="15" thickBot="1">
      <c r="A18" s="16" t="s">
        <v>958</v>
      </c>
      <c r="B18" s="16">
        <v>10</v>
      </c>
      <c r="C18" s="16">
        <f t="shared" si="0"/>
        <v>1823.75</v>
      </c>
      <c r="D18" s="17" t="s">
        <v>959</v>
      </c>
      <c r="E18" s="17">
        <v>159</v>
      </c>
      <c r="F18" s="16" t="s">
        <v>68</v>
      </c>
      <c r="G18" s="17" t="s">
        <v>960</v>
      </c>
      <c r="H18" s="17" t="s">
        <v>961</v>
      </c>
      <c r="I18" s="17" t="s">
        <v>962</v>
      </c>
      <c r="J18" s="16" t="s">
        <v>68</v>
      </c>
      <c r="K18" s="17" t="s">
        <v>963</v>
      </c>
      <c r="L18" s="17" t="s">
        <v>964</v>
      </c>
      <c r="M18" s="17" t="s">
        <v>965</v>
      </c>
      <c r="N18" s="17" t="s">
        <v>966</v>
      </c>
      <c r="O18" s="17" t="s">
        <v>967</v>
      </c>
      <c r="P18" s="17" t="s">
        <v>313</v>
      </c>
      <c r="Q18" s="17" t="s">
        <v>968</v>
      </c>
      <c r="R18" s="17" t="s">
        <v>969</v>
      </c>
      <c r="S18" s="17" t="s">
        <v>970</v>
      </c>
      <c r="T18" s="16" t="s">
        <v>68</v>
      </c>
      <c r="U18" s="17" t="s">
        <v>971</v>
      </c>
      <c r="V18" s="17" t="s">
        <v>972</v>
      </c>
      <c r="W18" s="17" t="s">
        <v>973</v>
      </c>
      <c r="X18" s="16" t="s">
        <v>68</v>
      </c>
      <c r="Y18" s="17" t="s">
        <v>974</v>
      </c>
      <c r="Z18" s="16" t="s">
        <v>68</v>
      </c>
      <c r="AA18" s="17" t="s">
        <v>975</v>
      </c>
      <c r="AB18" s="16" t="s">
        <v>68</v>
      </c>
      <c r="AC18" s="17" t="s">
        <v>976</v>
      </c>
      <c r="AD18" s="17" t="s">
        <v>977</v>
      </c>
      <c r="AE18" s="17" t="s">
        <v>851</v>
      </c>
      <c r="AF18" s="17" t="s">
        <v>978</v>
      </c>
      <c r="AG18" s="17" t="s">
        <v>979</v>
      </c>
      <c r="AH18" s="16" t="s">
        <v>68</v>
      </c>
      <c r="AI18" s="17" t="s">
        <v>980</v>
      </c>
      <c r="AJ18" s="17" t="s">
        <v>981</v>
      </c>
      <c r="AK18" s="17" t="s">
        <v>801</v>
      </c>
      <c r="AL18" s="17" t="s">
        <v>982</v>
      </c>
      <c r="AM18" s="17" t="s">
        <v>983</v>
      </c>
      <c r="AN18" s="17" t="s">
        <v>984</v>
      </c>
      <c r="AO18" s="17" t="s">
        <v>294</v>
      </c>
      <c r="AP18" s="17" t="s">
        <v>985</v>
      </c>
      <c r="AQ18" s="17" t="s">
        <v>986</v>
      </c>
      <c r="AR18" s="16" t="s">
        <v>68</v>
      </c>
      <c r="AS18" s="17" t="s">
        <v>987</v>
      </c>
      <c r="AT18" s="16" t="s">
        <v>68</v>
      </c>
      <c r="AU18" s="17" t="s">
        <v>294</v>
      </c>
      <c r="AV18" s="16" t="s">
        <v>68</v>
      </c>
      <c r="AW18" s="17" t="s">
        <v>988</v>
      </c>
      <c r="AX18" s="16" t="s">
        <v>68</v>
      </c>
      <c r="AY18" s="17" t="s">
        <v>748</v>
      </c>
      <c r="AZ18" s="16" t="s">
        <v>68</v>
      </c>
      <c r="BA18" s="17" t="s">
        <v>666</v>
      </c>
      <c r="BB18" s="16" t="s">
        <v>68</v>
      </c>
      <c r="BC18" s="17" t="s">
        <v>989</v>
      </c>
      <c r="BD18" s="16" t="s">
        <v>68</v>
      </c>
      <c r="BE18" s="17" t="s">
        <v>990</v>
      </c>
      <c r="BF18" s="16" t="s">
        <v>68</v>
      </c>
      <c r="BG18" s="17" t="s">
        <v>991</v>
      </c>
      <c r="BH18" s="16" t="s">
        <v>68</v>
      </c>
      <c r="BI18" s="17" t="s">
        <v>992</v>
      </c>
      <c r="BJ18" s="16" t="s">
        <v>68</v>
      </c>
      <c r="BK18" s="17" t="s">
        <v>993</v>
      </c>
      <c r="BL18" s="16" t="s">
        <v>68</v>
      </c>
      <c r="BM18" s="17" t="s">
        <v>994</v>
      </c>
      <c r="BN18" s="17" t="s">
        <v>995</v>
      </c>
      <c r="BO18" s="17" t="s">
        <v>336</v>
      </c>
      <c r="BP18" s="17" t="s">
        <v>996</v>
      </c>
      <c r="BQ18" s="17" t="s">
        <v>942</v>
      </c>
      <c r="BR18" s="16" t="s">
        <v>68</v>
      </c>
      <c r="BS18" s="17" t="s">
        <v>990</v>
      </c>
    </row>
    <row r="19" spans="1:71" ht="15" thickBot="1">
      <c r="A19" s="16" t="s">
        <v>997</v>
      </c>
      <c r="B19" s="16">
        <v>14</v>
      </c>
      <c r="C19" s="16">
        <f t="shared" si="0"/>
        <v>1743.75</v>
      </c>
      <c r="D19" s="17" t="s">
        <v>998</v>
      </c>
      <c r="E19" s="17" t="s">
        <v>999</v>
      </c>
      <c r="F19" s="16" t="s">
        <v>68</v>
      </c>
      <c r="G19" s="17" t="s">
        <v>1000</v>
      </c>
      <c r="H19" s="17" t="s">
        <v>1001</v>
      </c>
      <c r="I19" s="17" t="s">
        <v>1002</v>
      </c>
      <c r="J19" s="17" t="s">
        <v>1003</v>
      </c>
      <c r="K19" s="17" t="s">
        <v>1004</v>
      </c>
      <c r="L19" s="17" t="s">
        <v>1005</v>
      </c>
      <c r="M19" s="17" t="s">
        <v>1006</v>
      </c>
      <c r="N19" s="17" t="s">
        <v>1007</v>
      </c>
      <c r="O19" s="17" t="s">
        <v>1008</v>
      </c>
      <c r="P19" s="17" t="s">
        <v>1009</v>
      </c>
      <c r="Q19" s="17" t="s">
        <v>522</v>
      </c>
      <c r="R19" s="17" t="s">
        <v>1010</v>
      </c>
      <c r="S19" s="17" t="s">
        <v>1011</v>
      </c>
      <c r="T19" s="16" t="s">
        <v>68</v>
      </c>
      <c r="U19" s="17" t="s">
        <v>1012</v>
      </c>
      <c r="V19" s="17" t="s">
        <v>1013</v>
      </c>
      <c r="W19" s="17" t="s">
        <v>1014</v>
      </c>
      <c r="X19" s="16" t="s">
        <v>68</v>
      </c>
      <c r="Y19" s="17" t="s">
        <v>1015</v>
      </c>
      <c r="Z19" s="16" t="s">
        <v>68</v>
      </c>
      <c r="AA19" s="17" t="s">
        <v>1016</v>
      </c>
      <c r="AB19" s="16" t="s">
        <v>68</v>
      </c>
      <c r="AC19" s="17" t="s">
        <v>1017</v>
      </c>
      <c r="AD19" s="17" t="s">
        <v>1018</v>
      </c>
      <c r="AE19" s="17" t="s">
        <v>1019</v>
      </c>
      <c r="AF19" s="17" t="s">
        <v>1020</v>
      </c>
      <c r="AG19" s="17" t="s">
        <v>1021</v>
      </c>
      <c r="AH19" s="16" t="s">
        <v>68</v>
      </c>
      <c r="AI19" s="17" t="s">
        <v>349</v>
      </c>
      <c r="AJ19" s="17" t="s">
        <v>1022</v>
      </c>
      <c r="AK19" s="17" t="s">
        <v>212</v>
      </c>
      <c r="AL19" s="17" t="s">
        <v>1023</v>
      </c>
      <c r="AM19" s="17" t="s">
        <v>955</v>
      </c>
      <c r="AN19" s="17" t="s">
        <v>1024</v>
      </c>
      <c r="AO19" s="17" t="s">
        <v>1025</v>
      </c>
      <c r="AP19" s="17" t="s">
        <v>1026</v>
      </c>
      <c r="AQ19" s="17" t="s">
        <v>532</v>
      </c>
      <c r="AR19" s="16" t="s">
        <v>68</v>
      </c>
      <c r="AS19" s="17" t="s">
        <v>1027</v>
      </c>
      <c r="AT19" s="16" t="s">
        <v>68</v>
      </c>
      <c r="AU19" s="17" t="s">
        <v>1028</v>
      </c>
      <c r="AV19" s="16" t="s">
        <v>68</v>
      </c>
      <c r="AW19" s="17" t="s">
        <v>1029</v>
      </c>
      <c r="AX19" s="16" t="s">
        <v>68</v>
      </c>
      <c r="AY19" s="17" t="s">
        <v>588</v>
      </c>
      <c r="AZ19" s="16" t="s">
        <v>68</v>
      </c>
      <c r="BA19" s="17" t="s">
        <v>1030</v>
      </c>
      <c r="BB19" s="16" t="s">
        <v>68</v>
      </c>
      <c r="BC19" s="17" t="s">
        <v>1031</v>
      </c>
      <c r="BD19" s="16" t="s">
        <v>68</v>
      </c>
      <c r="BE19" s="17">
        <v>4</v>
      </c>
      <c r="BF19" s="16" t="s">
        <v>68</v>
      </c>
      <c r="BG19" s="17" t="s">
        <v>1005</v>
      </c>
      <c r="BH19" s="16" t="s">
        <v>68</v>
      </c>
      <c r="BI19" s="17" t="s">
        <v>1032</v>
      </c>
      <c r="BJ19" s="16" t="s">
        <v>68</v>
      </c>
      <c r="BK19" s="17" t="s">
        <v>477</v>
      </c>
      <c r="BL19" s="16" t="s">
        <v>68</v>
      </c>
      <c r="BM19" s="17" t="s">
        <v>1033</v>
      </c>
      <c r="BN19" s="17" t="s">
        <v>1034</v>
      </c>
      <c r="BO19" s="17" t="s">
        <v>530</v>
      </c>
      <c r="BP19" s="17" t="s">
        <v>1035</v>
      </c>
      <c r="BQ19" s="17" t="s">
        <v>850</v>
      </c>
      <c r="BR19" s="16" t="s">
        <v>68</v>
      </c>
      <c r="BS19" s="17" t="s">
        <v>331</v>
      </c>
    </row>
    <row r="20" spans="1:71" ht="15" thickBot="1">
      <c r="A20" s="16" t="s">
        <v>1036</v>
      </c>
      <c r="B20" s="16">
        <v>18</v>
      </c>
      <c r="C20" s="16">
        <f t="shared" si="0"/>
        <v>1663.75</v>
      </c>
      <c r="D20" s="17" t="s">
        <v>1037</v>
      </c>
      <c r="E20" s="17" t="s">
        <v>1038</v>
      </c>
      <c r="F20" s="16" t="s">
        <v>68</v>
      </c>
      <c r="G20" s="17" t="s">
        <v>1039</v>
      </c>
      <c r="H20" s="17" t="s">
        <v>1040</v>
      </c>
      <c r="I20" s="17" t="s">
        <v>1041</v>
      </c>
      <c r="J20" s="17" t="s">
        <v>1042</v>
      </c>
      <c r="K20" s="17" t="s">
        <v>1043</v>
      </c>
      <c r="L20" s="16" t="s">
        <v>68</v>
      </c>
      <c r="M20" s="17" t="s">
        <v>1044</v>
      </c>
      <c r="N20" s="17" t="s">
        <v>1045</v>
      </c>
      <c r="O20" s="17" t="s">
        <v>1046</v>
      </c>
      <c r="P20" s="17" t="s">
        <v>1047</v>
      </c>
      <c r="Q20" s="17" t="s">
        <v>583</v>
      </c>
      <c r="R20" s="17" t="s">
        <v>1048</v>
      </c>
      <c r="S20" s="17" t="s">
        <v>222</v>
      </c>
      <c r="T20" s="16" t="s">
        <v>68</v>
      </c>
      <c r="U20" s="17" t="s">
        <v>1049</v>
      </c>
      <c r="V20" s="17" t="s">
        <v>1050</v>
      </c>
      <c r="W20" s="17" t="s">
        <v>1051</v>
      </c>
      <c r="X20" s="16" t="s">
        <v>68</v>
      </c>
      <c r="Y20" s="17" t="s">
        <v>1052</v>
      </c>
      <c r="Z20" s="16" t="s">
        <v>68</v>
      </c>
      <c r="AA20" s="17" t="s">
        <v>1053</v>
      </c>
      <c r="AB20" s="16" t="s">
        <v>68</v>
      </c>
      <c r="AC20" s="17" t="s">
        <v>283</v>
      </c>
      <c r="AD20" s="17" t="s">
        <v>1054</v>
      </c>
      <c r="AE20" s="17" t="s">
        <v>581</v>
      </c>
      <c r="AF20" s="17" t="s">
        <v>1055</v>
      </c>
      <c r="AG20" s="17" t="s">
        <v>1056</v>
      </c>
      <c r="AH20" s="16" t="s">
        <v>68</v>
      </c>
      <c r="AI20" s="17" t="s">
        <v>1057</v>
      </c>
      <c r="AJ20" s="17" t="s">
        <v>1058</v>
      </c>
      <c r="AK20" s="17" t="s">
        <v>430</v>
      </c>
      <c r="AL20" s="17" t="s">
        <v>1059</v>
      </c>
      <c r="AM20" s="17" t="s">
        <v>937</v>
      </c>
      <c r="AN20" s="17" t="s">
        <v>1060</v>
      </c>
      <c r="AO20" s="17" t="s">
        <v>1061</v>
      </c>
      <c r="AP20" s="17" t="s">
        <v>1062</v>
      </c>
      <c r="AQ20" s="17" t="s">
        <v>532</v>
      </c>
      <c r="AR20" s="16" t="s">
        <v>68</v>
      </c>
      <c r="AS20" s="17" t="s">
        <v>276</v>
      </c>
      <c r="AT20" s="16" t="s">
        <v>68</v>
      </c>
      <c r="AU20" s="17" t="s">
        <v>381</v>
      </c>
      <c r="AV20" s="16" t="s">
        <v>68</v>
      </c>
      <c r="AW20" s="17" t="s">
        <v>1063</v>
      </c>
      <c r="AX20" s="16" t="s">
        <v>68</v>
      </c>
      <c r="AY20" s="17" t="s">
        <v>1064</v>
      </c>
      <c r="AZ20" s="16" t="s">
        <v>68</v>
      </c>
      <c r="BA20" s="17" t="s">
        <v>1065</v>
      </c>
      <c r="BB20" s="16" t="s">
        <v>68</v>
      </c>
      <c r="BC20" s="17" t="s">
        <v>1066</v>
      </c>
      <c r="BD20" s="16" t="s">
        <v>68</v>
      </c>
      <c r="BE20" s="17" t="s">
        <v>990</v>
      </c>
      <c r="BF20" s="16" t="s">
        <v>68</v>
      </c>
      <c r="BG20" s="17" t="s">
        <v>1067</v>
      </c>
      <c r="BH20" s="16" t="s">
        <v>68</v>
      </c>
      <c r="BI20" s="17" t="s">
        <v>1068</v>
      </c>
      <c r="BJ20" s="16" t="s">
        <v>68</v>
      </c>
      <c r="BK20" s="17" t="s">
        <v>321</v>
      </c>
      <c r="BL20" s="16" t="s">
        <v>68</v>
      </c>
      <c r="BM20" s="17" t="s">
        <v>289</v>
      </c>
      <c r="BN20" s="17" t="s">
        <v>1069</v>
      </c>
      <c r="BO20" s="17" t="s">
        <v>333</v>
      </c>
      <c r="BP20" s="17" t="s">
        <v>1070</v>
      </c>
      <c r="BQ20" s="17" t="s">
        <v>1071</v>
      </c>
      <c r="BR20" s="16" t="s">
        <v>68</v>
      </c>
      <c r="BS20" s="17" t="s">
        <v>572</v>
      </c>
    </row>
    <row r="21" spans="1:71" ht="15" thickBot="1">
      <c r="A21" s="16" t="s">
        <v>1072</v>
      </c>
      <c r="B21" s="16">
        <v>24</v>
      </c>
      <c r="C21" s="16">
        <f t="shared" si="0"/>
        <v>1543.75</v>
      </c>
      <c r="D21" s="17" t="s">
        <v>1073</v>
      </c>
      <c r="E21" s="17" t="s">
        <v>1074</v>
      </c>
      <c r="F21" s="16" t="s">
        <v>68</v>
      </c>
      <c r="G21" s="17" t="s">
        <v>1075</v>
      </c>
      <c r="H21" s="17" t="s">
        <v>1076</v>
      </c>
      <c r="I21" s="17" t="s">
        <v>1077</v>
      </c>
      <c r="J21" s="17" t="s">
        <v>1078</v>
      </c>
      <c r="K21" s="17" t="s">
        <v>1079</v>
      </c>
      <c r="L21" s="17" t="s">
        <v>1080</v>
      </c>
      <c r="M21" s="17" t="s">
        <v>1081</v>
      </c>
      <c r="N21" s="17" t="s">
        <v>1082</v>
      </c>
      <c r="O21" s="17" t="s">
        <v>1083</v>
      </c>
      <c r="P21" s="17" t="s">
        <v>1084</v>
      </c>
      <c r="Q21" s="17" t="s">
        <v>1085</v>
      </c>
      <c r="R21" s="17" t="s">
        <v>1086</v>
      </c>
      <c r="S21" s="17" t="s">
        <v>1087</v>
      </c>
      <c r="T21" s="16" t="s">
        <v>68</v>
      </c>
      <c r="U21" s="17" t="s">
        <v>1088</v>
      </c>
      <c r="V21" s="17" t="s">
        <v>1089</v>
      </c>
      <c r="W21" s="17" t="s">
        <v>1090</v>
      </c>
      <c r="X21" s="16" t="s">
        <v>68</v>
      </c>
      <c r="Y21" s="17" t="s">
        <v>1091</v>
      </c>
      <c r="Z21" s="16" t="s">
        <v>68</v>
      </c>
      <c r="AA21" s="17" t="s">
        <v>1092</v>
      </c>
      <c r="AB21" s="16" t="s">
        <v>68</v>
      </c>
      <c r="AC21" s="17" t="s">
        <v>1093</v>
      </c>
      <c r="AD21" s="17" t="s">
        <v>1094</v>
      </c>
      <c r="AE21" s="17" t="s">
        <v>623</v>
      </c>
      <c r="AF21" s="17" t="s">
        <v>716</v>
      </c>
      <c r="AG21" s="17" t="s">
        <v>1095</v>
      </c>
      <c r="AH21" s="16" t="s">
        <v>68</v>
      </c>
      <c r="AI21" s="17" t="s">
        <v>379</v>
      </c>
      <c r="AJ21" s="17" t="s">
        <v>1096</v>
      </c>
      <c r="AK21" s="17" t="s">
        <v>1097</v>
      </c>
      <c r="AL21" s="17" t="s">
        <v>1098</v>
      </c>
      <c r="AM21" s="17" t="s">
        <v>499</v>
      </c>
      <c r="AN21" s="17" t="s">
        <v>1099</v>
      </c>
      <c r="AO21" s="17" t="s">
        <v>1025</v>
      </c>
      <c r="AP21" s="17" t="s">
        <v>1100</v>
      </c>
      <c r="AQ21" s="17" t="s">
        <v>273</v>
      </c>
      <c r="AR21" s="16" t="s">
        <v>68</v>
      </c>
      <c r="AS21" s="17" t="s">
        <v>331</v>
      </c>
      <c r="AT21" s="16" t="s">
        <v>68</v>
      </c>
      <c r="AU21" s="17" t="s">
        <v>1101</v>
      </c>
      <c r="AV21" s="16" t="s">
        <v>68</v>
      </c>
      <c r="AW21" s="17" t="s">
        <v>1102</v>
      </c>
      <c r="AX21" s="16" t="s">
        <v>68</v>
      </c>
      <c r="AY21" s="17" t="s">
        <v>401</v>
      </c>
      <c r="AZ21" s="16" t="s">
        <v>68</v>
      </c>
      <c r="BA21" s="17" t="s">
        <v>272</v>
      </c>
      <c r="BB21" s="16" t="s">
        <v>68</v>
      </c>
      <c r="BC21" s="17" t="s">
        <v>1103</v>
      </c>
      <c r="BD21" s="16" t="s">
        <v>68</v>
      </c>
      <c r="BE21" s="17" t="s">
        <v>755</v>
      </c>
      <c r="BF21" s="16" t="s">
        <v>68</v>
      </c>
      <c r="BG21" s="17" t="s">
        <v>1104</v>
      </c>
      <c r="BH21" s="16" t="s">
        <v>68</v>
      </c>
      <c r="BI21" s="17" t="s">
        <v>1105</v>
      </c>
      <c r="BJ21" s="16" t="s">
        <v>68</v>
      </c>
      <c r="BK21" s="17" t="s">
        <v>275</v>
      </c>
      <c r="BL21" s="16" t="s">
        <v>68</v>
      </c>
      <c r="BM21" s="17" t="s">
        <v>473</v>
      </c>
      <c r="BN21" s="17" t="s">
        <v>1106</v>
      </c>
      <c r="BO21" s="17" t="s">
        <v>1107</v>
      </c>
      <c r="BP21" s="17" t="s">
        <v>1108</v>
      </c>
      <c r="BQ21" s="17" t="s">
        <v>804</v>
      </c>
      <c r="BR21" s="16" t="s">
        <v>68</v>
      </c>
      <c r="BS21" s="17" t="s">
        <v>1109</v>
      </c>
    </row>
    <row r="22" spans="1:71" ht="15" thickBot="1">
      <c r="A22" s="16" t="s">
        <v>1110</v>
      </c>
      <c r="B22" s="16">
        <v>20</v>
      </c>
      <c r="C22" s="16">
        <f t="shared" si="0"/>
        <v>1623.75</v>
      </c>
      <c r="D22" s="17" t="s">
        <v>1111</v>
      </c>
      <c r="E22" s="17" t="s">
        <v>1112</v>
      </c>
      <c r="F22" s="16" t="s">
        <v>68</v>
      </c>
      <c r="G22" s="17" t="s">
        <v>1113</v>
      </c>
      <c r="H22" s="17" t="s">
        <v>1114</v>
      </c>
      <c r="I22" s="17" t="s">
        <v>1115</v>
      </c>
      <c r="J22" s="17" t="s">
        <v>1116</v>
      </c>
      <c r="K22" s="17" t="s">
        <v>1117</v>
      </c>
      <c r="L22" s="17" t="s">
        <v>1118</v>
      </c>
      <c r="M22" s="17" t="s">
        <v>1119</v>
      </c>
      <c r="N22" s="17" t="s">
        <v>1120</v>
      </c>
      <c r="O22" s="17" t="s">
        <v>1121</v>
      </c>
      <c r="P22" s="17" t="s">
        <v>1122</v>
      </c>
      <c r="Q22" s="17" t="s">
        <v>1123</v>
      </c>
      <c r="R22" s="17" t="s">
        <v>1124</v>
      </c>
      <c r="S22" s="17" t="s">
        <v>1125</v>
      </c>
      <c r="T22" s="16" t="s">
        <v>68</v>
      </c>
      <c r="U22" s="17" t="s">
        <v>1126</v>
      </c>
      <c r="V22" s="17" t="s">
        <v>1127</v>
      </c>
      <c r="W22" s="17" t="s">
        <v>1128</v>
      </c>
      <c r="X22" s="16" t="s">
        <v>68</v>
      </c>
      <c r="Y22" s="17" t="s">
        <v>1129</v>
      </c>
      <c r="Z22" s="16" t="s">
        <v>68</v>
      </c>
      <c r="AA22" s="17" t="s">
        <v>1130</v>
      </c>
      <c r="AB22" s="16" t="s">
        <v>68</v>
      </c>
      <c r="AC22" s="17" t="s">
        <v>1131</v>
      </c>
      <c r="AD22" s="17" t="s">
        <v>1132</v>
      </c>
      <c r="AE22" s="17" t="s">
        <v>614</v>
      </c>
      <c r="AF22" s="17" t="s">
        <v>1133</v>
      </c>
      <c r="AG22" s="17" t="s">
        <v>1134</v>
      </c>
      <c r="AH22" s="16" t="s">
        <v>68</v>
      </c>
      <c r="AI22" s="17" t="s">
        <v>499</v>
      </c>
      <c r="AJ22" s="17" t="s">
        <v>1135</v>
      </c>
      <c r="AK22" s="17" t="s">
        <v>535</v>
      </c>
      <c r="AL22" s="17" t="s">
        <v>1136</v>
      </c>
      <c r="AM22" s="17" t="s">
        <v>801</v>
      </c>
      <c r="AN22" s="17" t="s">
        <v>1137</v>
      </c>
      <c r="AO22" s="17" t="s">
        <v>1138</v>
      </c>
      <c r="AP22" s="17" t="s">
        <v>1139</v>
      </c>
      <c r="AQ22" s="17" t="s">
        <v>273</v>
      </c>
      <c r="AR22" s="16" t="s">
        <v>68</v>
      </c>
      <c r="AS22" s="17" t="s">
        <v>588</v>
      </c>
      <c r="AT22" s="16" t="s">
        <v>68</v>
      </c>
      <c r="AU22" s="17" t="s">
        <v>434</v>
      </c>
      <c r="AV22" s="16" t="s">
        <v>68</v>
      </c>
      <c r="AW22" s="17" t="s">
        <v>1140</v>
      </c>
      <c r="AX22" s="16" t="s">
        <v>68</v>
      </c>
      <c r="AY22" s="17" t="s">
        <v>1141</v>
      </c>
      <c r="AZ22" s="16" t="s">
        <v>68</v>
      </c>
      <c r="BA22" s="17" t="s">
        <v>1142</v>
      </c>
      <c r="BB22" s="16" t="s">
        <v>68</v>
      </c>
      <c r="BC22" s="17" t="s">
        <v>1143</v>
      </c>
      <c r="BD22" s="16" t="s">
        <v>68</v>
      </c>
      <c r="BE22" s="17" t="s">
        <v>1144</v>
      </c>
      <c r="BF22" s="16" t="s">
        <v>68</v>
      </c>
      <c r="BG22" s="17" t="s">
        <v>1145</v>
      </c>
      <c r="BH22" s="17" t="s">
        <v>1146</v>
      </c>
      <c r="BI22" s="17" t="s">
        <v>560</v>
      </c>
      <c r="BJ22" s="16" t="s">
        <v>68</v>
      </c>
      <c r="BK22" s="17" t="s">
        <v>1147</v>
      </c>
      <c r="BL22" s="16" t="s">
        <v>68</v>
      </c>
      <c r="BM22" s="17" t="s">
        <v>630</v>
      </c>
      <c r="BN22" s="17" t="s">
        <v>1148</v>
      </c>
      <c r="BO22" s="17" t="s">
        <v>396</v>
      </c>
      <c r="BP22" s="17" t="s">
        <v>1149</v>
      </c>
      <c r="BQ22" s="17" t="s">
        <v>400</v>
      </c>
      <c r="BR22" s="16" t="s">
        <v>68</v>
      </c>
      <c r="BS22" s="17" t="s">
        <v>500</v>
      </c>
    </row>
    <row r="23" spans="1:71" ht="15" thickBot="1">
      <c r="A23" s="16" t="s">
        <v>1150</v>
      </c>
      <c r="B23" s="16">
        <v>42</v>
      </c>
      <c r="C23" s="16">
        <f t="shared" si="0"/>
        <v>1183.75</v>
      </c>
      <c r="D23" s="17" t="s">
        <v>1151</v>
      </c>
      <c r="E23" s="17" t="s">
        <v>1152</v>
      </c>
      <c r="F23" s="16" t="s">
        <v>68</v>
      </c>
      <c r="G23" s="17" t="s">
        <v>1153</v>
      </c>
      <c r="H23" s="17" t="s">
        <v>1154</v>
      </c>
      <c r="I23" s="17" t="s">
        <v>1155</v>
      </c>
      <c r="J23" s="17" t="s">
        <v>1156</v>
      </c>
      <c r="K23" s="17" t="s">
        <v>1157</v>
      </c>
      <c r="L23" s="17" t="s">
        <v>1158</v>
      </c>
      <c r="M23" s="17" t="s">
        <v>1159</v>
      </c>
      <c r="N23" s="17" t="s">
        <v>1160</v>
      </c>
      <c r="O23" s="17" t="s">
        <v>1161</v>
      </c>
      <c r="P23" s="17" t="s">
        <v>1162</v>
      </c>
      <c r="Q23" s="17" t="s">
        <v>668</v>
      </c>
      <c r="R23" s="17" t="s">
        <v>1163</v>
      </c>
      <c r="S23" s="17" t="s">
        <v>711</v>
      </c>
      <c r="T23" s="16" t="s">
        <v>68</v>
      </c>
      <c r="U23" s="17" t="s">
        <v>1164</v>
      </c>
      <c r="V23" s="17" t="s">
        <v>1165</v>
      </c>
      <c r="W23" s="17" t="s">
        <v>1166</v>
      </c>
      <c r="X23" s="16" t="s">
        <v>68</v>
      </c>
      <c r="Y23" s="17" t="s">
        <v>1167</v>
      </c>
      <c r="Z23" s="16" t="s">
        <v>68</v>
      </c>
      <c r="AA23" s="17" t="s">
        <v>1168</v>
      </c>
      <c r="AB23" s="16" t="s">
        <v>68</v>
      </c>
      <c r="AC23" s="17" t="s">
        <v>570</v>
      </c>
      <c r="AD23" s="17" t="s">
        <v>1169</v>
      </c>
      <c r="AE23" s="17" t="s">
        <v>439</v>
      </c>
      <c r="AF23" s="17" t="s">
        <v>951</v>
      </c>
      <c r="AG23" s="17" t="s">
        <v>1170</v>
      </c>
      <c r="AH23" s="16" t="s">
        <v>68</v>
      </c>
      <c r="AI23" s="17" t="s">
        <v>1171</v>
      </c>
      <c r="AJ23" s="17" t="s">
        <v>1172</v>
      </c>
      <c r="AK23" s="17" t="s">
        <v>1173</v>
      </c>
      <c r="AL23" s="17" t="s">
        <v>1174</v>
      </c>
      <c r="AM23" s="17" t="s">
        <v>210</v>
      </c>
      <c r="AN23" s="17" t="s">
        <v>1175</v>
      </c>
      <c r="AO23" s="17" t="s">
        <v>957</v>
      </c>
      <c r="AP23" s="17" t="s">
        <v>1176</v>
      </c>
      <c r="AQ23" s="17" t="s">
        <v>1177</v>
      </c>
      <c r="AR23" s="16" t="s">
        <v>68</v>
      </c>
      <c r="AS23" s="17" t="s">
        <v>1178</v>
      </c>
      <c r="AT23" s="16" t="s">
        <v>68</v>
      </c>
      <c r="AU23" s="17" t="s">
        <v>1179</v>
      </c>
      <c r="AV23" s="16" t="s">
        <v>68</v>
      </c>
      <c r="AW23" s="17" t="s">
        <v>1180</v>
      </c>
      <c r="AX23" s="16" t="s">
        <v>68</v>
      </c>
      <c r="AY23" s="17" t="s">
        <v>1027</v>
      </c>
      <c r="AZ23" s="16" t="s">
        <v>68</v>
      </c>
      <c r="BA23" s="17" t="s">
        <v>956</v>
      </c>
      <c r="BB23" s="16" t="s">
        <v>68</v>
      </c>
      <c r="BC23" s="17" t="s">
        <v>1181</v>
      </c>
      <c r="BD23" s="16" t="s">
        <v>68</v>
      </c>
      <c r="BE23" s="17" t="s">
        <v>209</v>
      </c>
      <c r="BF23" s="16" t="s">
        <v>68</v>
      </c>
      <c r="BG23" s="17" t="s">
        <v>1182</v>
      </c>
      <c r="BH23" s="16" t="s">
        <v>68</v>
      </c>
      <c r="BI23" s="17" t="s">
        <v>1183</v>
      </c>
      <c r="BJ23" s="16" t="s">
        <v>68</v>
      </c>
      <c r="BK23" s="17" t="s">
        <v>1184</v>
      </c>
      <c r="BL23" s="16" t="s">
        <v>68</v>
      </c>
      <c r="BM23" s="17" t="s">
        <v>759</v>
      </c>
      <c r="BN23" s="17" t="s">
        <v>1185</v>
      </c>
      <c r="BO23" s="17" t="s">
        <v>1186</v>
      </c>
      <c r="BP23" s="17" t="s">
        <v>1187</v>
      </c>
      <c r="BQ23" s="17" t="s">
        <v>546</v>
      </c>
      <c r="BR23" s="16" t="s">
        <v>68</v>
      </c>
      <c r="BS23" s="17" t="s">
        <v>669</v>
      </c>
    </row>
    <row r="24" spans="1:71" ht="15" thickBot="1">
      <c r="A24" s="16" t="s">
        <v>1188</v>
      </c>
      <c r="B24" s="16">
        <v>78</v>
      </c>
      <c r="C24" s="16">
        <f t="shared" si="0"/>
        <v>463.75</v>
      </c>
      <c r="D24" s="17" t="s">
        <v>1189</v>
      </c>
      <c r="E24" s="17" t="s">
        <v>1190</v>
      </c>
      <c r="F24" s="16" t="s">
        <v>68</v>
      </c>
      <c r="G24" s="17" t="s">
        <v>1191</v>
      </c>
      <c r="H24" s="17" t="s">
        <v>1192</v>
      </c>
      <c r="I24" s="17" t="s">
        <v>1193</v>
      </c>
      <c r="J24" s="17" t="s">
        <v>1194</v>
      </c>
      <c r="K24" s="17" t="s">
        <v>1195</v>
      </c>
      <c r="L24" s="17" t="s">
        <v>1196</v>
      </c>
      <c r="M24" s="17" t="s">
        <v>827</v>
      </c>
      <c r="N24" s="17" t="s">
        <v>1197</v>
      </c>
      <c r="O24" s="17" t="s">
        <v>1198</v>
      </c>
      <c r="P24" s="17" t="s">
        <v>1199</v>
      </c>
      <c r="Q24" s="17" t="s">
        <v>1200</v>
      </c>
      <c r="R24" s="17" t="s">
        <v>1201</v>
      </c>
      <c r="S24" s="17" t="s">
        <v>925</v>
      </c>
      <c r="T24" s="17" t="s">
        <v>1202</v>
      </c>
      <c r="U24" s="17" t="s">
        <v>1203</v>
      </c>
      <c r="V24" s="17" t="s">
        <v>1204</v>
      </c>
      <c r="W24" s="17" t="s">
        <v>1205</v>
      </c>
      <c r="X24" s="16" t="s">
        <v>68</v>
      </c>
      <c r="Y24" s="17" t="s">
        <v>1206</v>
      </c>
      <c r="Z24" s="16" t="s">
        <v>68</v>
      </c>
      <c r="AA24" s="17" t="s">
        <v>1207</v>
      </c>
      <c r="AB24" s="16" t="s">
        <v>68</v>
      </c>
      <c r="AC24" s="17" t="s">
        <v>1208</v>
      </c>
      <c r="AD24" s="17" t="s">
        <v>1209</v>
      </c>
      <c r="AE24" s="17" t="s">
        <v>1210</v>
      </c>
      <c r="AF24" s="17" t="s">
        <v>1211</v>
      </c>
      <c r="AG24" s="17" t="s">
        <v>591</v>
      </c>
      <c r="AH24" s="16" t="s">
        <v>68</v>
      </c>
      <c r="AI24" s="17" t="s">
        <v>446</v>
      </c>
      <c r="AJ24" s="17" t="s">
        <v>1212</v>
      </c>
      <c r="AK24" s="17">
        <v>3</v>
      </c>
      <c r="AL24" s="17" t="s">
        <v>1213</v>
      </c>
      <c r="AM24" s="17" t="s">
        <v>797</v>
      </c>
      <c r="AN24" s="17" t="s">
        <v>1214</v>
      </c>
      <c r="AO24" s="17" t="s">
        <v>345</v>
      </c>
      <c r="AP24" s="17" t="s">
        <v>1215</v>
      </c>
      <c r="AQ24" s="17" t="s">
        <v>850</v>
      </c>
      <c r="AR24" s="16" t="s">
        <v>68</v>
      </c>
      <c r="AS24" s="17" t="s">
        <v>483</v>
      </c>
      <c r="AT24" s="16" t="s">
        <v>68</v>
      </c>
      <c r="AU24" s="17" t="s">
        <v>623</v>
      </c>
      <c r="AV24" s="16" t="s">
        <v>68</v>
      </c>
      <c r="AW24" s="17" t="s">
        <v>889</v>
      </c>
      <c r="AX24" s="16" t="s">
        <v>68</v>
      </c>
      <c r="AY24" s="17" t="s">
        <v>219</v>
      </c>
      <c r="AZ24" s="16" t="s">
        <v>68</v>
      </c>
      <c r="BA24" s="17" t="s">
        <v>1216</v>
      </c>
      <c r="BB24" s="16" t="s">
        <v>68</v>
      </c>
      <c r="BC24" s="17" t="s">
        <v>399</v>
      </c>
      <c r="BD24" s="16" t="s">
        <v>68</v>
      </c>
      <c r="BE24" s="17" t="s">
        <v>572</v>
      </c>
      <c r="BF24" s="16" t="s">
        <v>68</v>
      </c>
      <c r="BG24" s="17" t="s">
        <v>1217</v>
      </c>
      <c r="BH24" s="16" t="s">
        <v>68</v>
      </c>
      <c r="BI24" s="17" t="s">
        <v>1218</v>
      </c>
      <c r="BJ24" s="16" t="s">
        <v>68</v>
      </c>
      <c r="BK24" s="17" t="s">
        <v>543</v>
      </c>
      <c r="BL24" s="16" t="s">
        <v>68</v>
      </c>
      <c r="BM24" s="17" t="s">
        <v>1219</v>
      </c>
      <c r="BN24" s="17" t="s">
        <v>1220</v>
      </c>
      <c r="BO24" s="17" t="s">
        <v>341</v>
      </c>
      <c r="BP24" s="17" t="s">
        <v>712</v>
      </c>
      <c r="BQ24" s="17" t="s">
        <v>657</v>
      </c>
      <c r="BR24" s="16" t="s">
        <v>68</v>
      </c>
      <c r="BS24" s="17" t="s">
        <v>1221</v>
      </c>
    </row>
    <row r="25" spans="1:71" ht="15" thickBot="1">
      <c r="A25" s="16" t="s">
        <v>1222</v>
      </c>
      <c r="B25" s="16">
        <v>84</v>
      </c>
      <c r="C25" s="16">
        <f t="shared" si="0"/>
        <v>343.75</v>
      </c>
      <c r="D25" s="17" t="s">
        <v>1223</v>
      </c>
      <c r="E25" s="17" t="s">
        <v>1224</v>
      </c>
      <c r="F25" s="16" t="s">
        <v>68</v>
      </c>
      <c r="G25" s="17" t="s">
        <v>1225</v>
      </c>
      <c r="H25" s="17" t="s">
        <v>1226</v>
      </c>
      <c r="I25" s="17" t="s">
        <v>1227</v>
      </c>
      <c r="J25" s="17" t="s">
        <v>1228</v>
      </c>
      <c r="K25" s="17" t="s">
        <v>1229</v>
      </c>
      <c r="L25" s="17" t="s">
        <v>1230</v>
      </c>
      <c r="M25" s="17" t="s">
        <v>1231</v>
      </c>
      <c r="N25" s="17" t="s">
        <v>1232</v>
      </c>
      <c r="O25" s="17" t="s">
        <v>1233</v>
      </c>
      <c r="P25" s="17" t="s">
        <v>1234</v>
      </c>
      <c r="Q25" s="17" t="s">
        <v>1235</v>
      </c>
      <c r="R25" s="17" t="s">
        <v>1236</v>
      </c>
      <c r="S25" s="17" t="s">
        <v>1237</v>
      </c>
      <c r="T25" s="16" t="s">
        <v>68</v>
      </c>
      <c r="U25" s="17" t="s">
        <v>1238</v>
      </c>
      <c r="V25" s="17" t="s">
        <v>1239</v>
      </c>
      <c r="W25" s="17" t="s">
        <v>1240</v>
      </c>
      <c r="X25" s="17" t="s">
        <v>1241</v>
      </c>
      <c r="Y25" s="17" t="s">
        <v>1242</v>
      </c>
      <c r="Z25" s="16" t="s">
        <v>68</v>
      </c>
      <c r="AA25" s="17" t="s">
        <v>1243</v>
      </c>
      <c r="AB25" s="16" t="s">
        <v>68</v>
      </c>
      <c r="AC25" s="17" t="s">
        <v>1244</v>
      </c>
      <c r="AD25" s="17" t="s">
        <v>1245</v>
      </c>
      <c r="AE25" s="17" t="s">
        <v>278</v>
      </c>
      <c r="AF25" s="17" t="s">
        <v>1246</v>
      </c>
      <c r="AG25" s="17">
        <v>3</v>
      </c>
      <c r="AH25" s="16" t="s">
        <v>68</v>
      </c>
      <c r="AI25" s="17" t="s">
        <v>432</v>
      </c>
      <c r="AJ25" s="17" t="s">
        <v>1247</v>
      </c>
      <c r="AK25" s="17" t="s">
        <v>1248</v>
      </c>
      <c r="AL25" s="17" t="s">
        <v>1249</v>
      </c>
      <c r="AM25" s="17" t="s">
        <v>1250</v>
      </c>
      <c r="AN25" s="17" t="s">
        <v>1251</v>
      </c>
      <c r="AO25" s="17" t="s">
        <v>1170</v>
      </c>
      <c r="AP25" s="17" t="s">
        <v>1252</v>
      </c>
      <c r="AQ25" s="17" t="s">
        <v>1253</v>
      </c>
      <c r="AR25" s="16" t="s">
        <v>68</v>
      </c>
      <c r="AS25" s="17" t="s">
        <v>331</v>
      </c>
      <c r="AT25" s="16" t="s">
        <v>68</v>
      </c>
      <c r="AU25" s="17" t="s">
        <v>1254</v>
      </c>
      <c r="AV25" s="16" t="s">
        <v>68</v>
      </c>
      <c r="AW25" s="17" t="s">
        <v>935</v>
      </c>
      <c r="AX25" s="16" t="s">
        <v>68</v>
      </c>
      <c r="AY25" s="17" t="s">
        <v>1019</v>
      </c>
      <c r="AZ25" s="16" t="s">
        <v>68</v>
      </c>
      <c r="BA25" s="17" t="s">
        <v>1255</v>
      </c>
      <c r="BB25" s="16" t="s">
        <v>68</v>
      </c>
      <c r="BC25" s="17" t="s">
        <v>1256</v>
      </c>
      <c r="BD25" s="16" t="s">
        <v>68</v>
      </c>
      <c r="BE25" s="17" t="s">
        <v>1257</v>
      </c>
      <c r="BF25" s="16" t="s">
        <v>68</v>
      </c>
      <c r="BG25" s="17" t="s">
        <v>1258</v>
      </c>
      <c r="BH25" s="16" t="s">
        <v>68</v>
      </c>
      <c r="BI25" s="17" t="s">
        <v>1259</v>
      </c>
      <c r="BJ25" s="16" t="s">
        <v>68</v>
      </c>
      <c r="BK25" s="17" t="s">
        <v>705</v>
      </c>
      <c r="BL25" s="16" t="s">
        <v>68</v>
      </c>
      <c r="BM25" s="17" t="s">
        <v>1260</v>
      </c>
      <c r="BN25" s="17" t="s">
        <v>1261</v>
      </c>
      <c r="BO25" s="17" t="s">
        <v>799</v>
      </c>
      <c r="BP25" s="17" t="s">
        <v>1262</v>
      </c>
      <c r="BQ25" s="17" t="s">
        <v>1263</v>
      </c>
      <c r="BR25" s="16" t="s">
        <v>68</v>
      </c>
      <c r="BS25" s="17" t="s">
        <v>1264</v>
      </c>
    </row>
    <row r="26" spans="1:71" ht="15" thickBot="1">
      <c r="A26" s="16" t="s">
        <v>1265</v>
      </c>
      <c r="B26" s="16">
        <v>86</v>
      </c>
      <c r="C26" s="16">
        <f t="shared" si="0"/>
        <v>303.75</v>
      </c>
      <c r="D26" s="17" t="s">
        <v>1266</v>
      </c>
      <c r="E26" s="17" t="s">
        <v>1267</v>
      </c>
      <c r="F26" s="16" t="s">
        <v>68</v>
      </c>
      <c r="G26" s="17" t="s">
        <v>1268</v>
      </c>
      <c r="H26" s="17" t="s">
        <v>1269</v>
      </c>
      <c r="I26" s="17" t="s">
        <v>1270</v>
      </c>
      <c r="J26" s="17" t="s">
        <v>1271</v>
      </c>
      <c r="K26" s="17" t="s">
        <v>1272</v>
      </c>
      <c r="L26" s="17" t="s">
        <v>1273</v>
      </c>
      <c r="M26" s="17" t="s">
        <v>1274</v>
      </c>
      <c r="N26" s="17" t="s">
        <v>1275</v>
      </c>
      <c r="O26" s="17" t="s">
        <v>1276</v>
      </c>
      <c r="P26" s="17" t="s">
        <v>1277</v>
      </c>
      <c r="Q26" s="17" t="s">
        <v>1278</v>
      </c>
      <c r="R26" s="17" t="s">
        <v>1279</v>
      </c>
      <c r="S26" s="17" t="s">
        <v>1280</v>
      </c>
      <c r="T26" s="17" t="s">
        <v>1281</v>
      </c>
      <c r="U26" s="17" t="s">
        <v>1282</v>
      </c>
      <c r="V26" s="17" t="s">
        <v>1283</v>
      </c>
      <c r="W26" s="17" t="s">
        <v>1284</v>
      </c>
      <c r="X26" s="16" t="s">
        <v>68</v>
      </c>
      <c r="Y26" s="17" t="s">
        <v>1285</v>
      </c>
      <c r="Z26" s="17" t="s">
        <v>1286</v>
      </c>
      <c r="AA26" s="17" t="s">
        <v>1287</v>
      </c>
      <c r="AB26" s="17" t="s">
        <v>1288</v>
      </c>
      <c r="AC26" s="17" t="s">
        <v>1289</v>
      </c>
      <c r="AD26" s="17" t="s">
        <v>1290</v>
      </c>
      <c r="AE26" s="17" t="s">
        <v>1291</v>
      </c>
      <c r="AF26" s="17" t="s">
        <v>1292</v>
      </c>
      <c r="AG26" s="17" t="s">
        <v>1293</v>
      </c>
      <c r="AH26" s="16" t="s">
        <v>68</v>
      </c>
      <c r="AI26" s="17" t="s">
        <v>1294</v>
      </c>
      <c r="AJ26" s="17" t="s">
        <v>1295</v>
      </c>
      <c r="AK26" s="17" t="s">
        <v>1184</v>
      </c>
      <c r="AL26" s="17" t="s">
        <v>1296</v>
      </c>
      <c r="AM26" s="17" t="s">
        <v>797</v>
      </c>
      <c r="AN26" s="17" t="s">
        <v>1297</v>
      </c>
      <c r="AO26" s="17" t="s">
        <v>345</v>
      </c>
      <c r="AP26" s="17" t="s">
        <v>1032</v>
      </c>
      <c r="AQ26" s="17" t="s">
        <v>293</v>
      </c>
      <c r="AR26" s="16" t="s">
        <v>68</v>
      </c>
      <c r="AS26" s="17" t="s">
        <v>473</v>
      </c>
      <c r="AT26" s="17" t="s">
        <v>447</v>
      </c>
      <c r="AU26" s="17" t="s">
        <v>1147</v>
      </c>
      <c r="AV26" s="16" t="s">
        <v>68</v>
      </c>
      <c r="AW26" s="17" t="s">
        <v>1298</v>
      </c>
      <c r="AX26" s="16" t="s">
        <v>68</v>
      </c>
      <c r="AY26" s="17" t="s">
        <v>1299</v>
      </c>
      <c r="AZ26" s="16" t="s">
        <v>68</v>
      </c>
      <c r="BA26" s="17" t="s">
        <v>1300</v>
      </c>
      <c r="BB26" s="16" t="s">
        <v>68</v>
      </c>
      <c r="BC26" s="17" t="s">
        <v>808</v>
      </c>
      <c r="BD26" s="16" t="s">
        <v>68</v>
      </c>
      <c r="BE26" s="17" t="s">
        <v>805</v>
      </c>
      <c r="BF26" s="17" t="s">
        <v>1301</v>
      </c>
      <c r="BG26" s="17" t="s">
        <v>1302</v>
      </c>
      <c r="BH26" s="16" t="s">
        <v>68</v>
      </c>
      <c r="BI26" s="17" t="s">
        <v>1303</v>
      </c>
      <c r="BJ26" s="16" t="s">
        <v>68</v>
      </c>
      <c r="BK26" s="17" t="s">
        <v>895</v>
      </c>
      <c r="BL26" s="16" t="s">
        <v>68</v>
      </c>
      <c r="BM26" s="17" t="s">
        <v>395</v>
      </c>
      <c r="BN26" s="17" t="s">
        <v>1304</v>
      </c>
      <c r="BO26" s="17" t="s">
        <v>1134</v>
      </c>
      <c r="BP26" s="17" t="s">
        <v>1305</v>
      </c>
      <c r="BQ26" s="17" t="s">
        <v>955</v>
      </c>
      <c r="BR26" s="16" t="s">
        <v>68</v>
      </c>
      <c r="BS26" s="17" t="s">
        <v>1306</v>
      </c>
    </row>
    <row r="27" spans="1:71" ht="15" thickBot="1">
      <c r="A27" s="16" t="s">
        <v>1307</v>
      </c>
      <c r="B27" s="16">
        <v>90</v>
      </c>
      <c r="C27" s="16">
        <f t="shared" si="0"/>
        <v>223.75</v>
      </c>
      <c r="D27" s="17" t="s">
        <v>1308</v>
      </c>
      <c r="E27" s="17" t="s">
        <v>1309</v>
      </c>
      <c r="F27" s="16" t="s">
        <v>68</v>
      </c>
      <c r="G27" s="17" t="s">
        <v>1310</v>
      </c>
      <c r="H27" s="17" t="s">
        <v>1311</v>
      </c>
      <c r="I27" s="17" t="s">
        <v>1312</v>
      </c>
      <c r="J27" s="17" t="s">
        <v>1313</v>
      </c>
      <c r="K27" s="17" t="s">
        <v>1314</v>
      </c>
      <c r="L27" s="17" t="s">
        <v>1315</v>
      </c>
      <c r="M27" s="17" t="s">
        <v>1316</v>
      </c>
      <c r="N27" s="17" t="s">
        <v>1317</v>
      </c>
      <c r="O27" s="17" t="s">
        <v>1318</v>
      </c>
      <c r="P27" s="17" t="s">
        <v>1319</v>
      </c>
      <c r="Q27" s="17" t="s">
        <v>1320</v>
      </c>
      <c r="R27" s="17" t="s">
        <v>1321</v>
      </c>
      <c r="S27" s="17">
        <v>8</v>
      </c>
      <c r="T27" s="17" t="s">
        <v>1322</v>
      </c>
      <c r="U27" s="17" t="s">
        <v>1146</v>
      </c>
      <c r="V27" s="17" t="s">
        <v>1323</v>
      </c>
      <c r="W27" s="17" t="s">
        <v>1324</v>
      </c>
      <c r="X27" s="17" t="s">
        <v>1325</v>
      </c>
      <c r="Y27" s="17" t="s">
        <v>1326</v>
      </c>
      <c r="Z27" s="16" t="s">
        <v>68</v>
      </c>
      <c r="AA27" s="17" t="s">
        <v>1327</v>
      </c>
      <c r="AB27" s="17" t="s">
        <v>1328</v>
      </c>
      <c r="AC27" s="17" t="s">
        <v>1329</v>
      </c>
      <c r="AD27" s="17" t="s">
        <v>1330</v>
      </c>
      <c r="AE27" s="17" t="s">
        <v>1331</v>
      </c>
      <c r="AF27" s="17" t="s">
        <v>1332</v>
      </c>
      <c r="AG27" s="17" t="s">
        <v>1248</v>
      </c>
      <c r="AH27" s="16" t="s">
        <v>68</v>
      </c>
      <c r="AI27" s="17" t="s">
        <v>1333</v>
      </c>
      <c r="AJ27" s="17" t="s">
        <v>1334</v>
      </c>
      <c r="AK27" s="17" t="s">
        <v>1335</v>
      </c>
      <c r="AL27" s="17" t="s">
        <v>1336</v>
      </c>
      <c r="AM27" s="17" t="s">
        <v>229</v>
      </c>
      <c r="AN27" s="17" t="s">
        <v>1337</v>
      </c>
      <c r="AO27" s="17" t="s">
        <v>543</v>
      </c>
      <c r="AP27" s="17" t="s">
        <v>1338</v>
      </c>
      <c r="AQ27" s="17" t="s">
        <v>326</v>
      </c>
      <c r="AR27" s="16" t="s">
        <v>68</v>
      </c>
      <c r="AS27" s="17" t="s">
        <v>1339</v>
      </c>
      <c r="AT27" s="16" t="s">
        <v>68</v>
      </c>
      <c r="AU27" s="17" t="s">
        <v>1257</v>
      </c>
      <c r="AV27" s="16" t="s">
        <v>68</v>
      </c>
      <c r="AW27" s="17" t="s">
        <v>1340</v>
      </c>
      <c r="AX27" s="16" t="s">
        <v>68</v>
      </c>
      <c r="AY27" s="17" t="s">
        <v>1341</v>
      </c>
      <c r="AZ27" s="16" t="s">
        <v>68</v>
      </c>
      <c r="BA27" s="17" t="s">
        <v>1342</v>
      </c>
      <c r="BB27" s="16" t="s">
        <v>68</v>
      </c>
      <c r="BC27" s="17" t="s">
        <v>604</v>
      </c>
      <c r="BD27" s="16" t="s">
        <v>68</v>
      </c>
      <c r="BE27" s="17" t="s">
        <v>490</v>
      </c>
      <c r="BF27" s="16" t="s">
        <v>68</v>
      </c>
      <c r="BG27" s="17" t="s">
        <v>1343</v>
      </c>
      <c r="BH27" s="16" t="s">
        <v>68</v>
      </c>
      <c r="BI27" s="17" t="s">
        <v>1344</v>
      </c>
      <c r="BJ27" s="16" t="s">
        <v>68</v>
      </c>
      <c r="BK27" s="17" t="s">
        <v>1345</v>
      </c>
      <c r="BL27" s="16" t="s">
        <v>68</v>
      </c>
      <c r="BM27" s="17" t="s">
        <v>1346</v>
      </c>
      <c r="BN27" s="17" t="s">
        <v>1347</v>
      </c>
      <c r="BO27" s="17" t="s">
        <v>1184</v>
      </c>
      <c r="BP27" s="17" t="s">
        <v>1348</v>
      </c>
      <c r="BQ27" s="17" t="s">
        <v>265</v>
      </c>
      <c r="BR27" s="16" t="s">
        <v>68</v>
      </c>
      <c r="BS27" s="17" t="s">
        <v>1306</v>
      </c>
    </row>
    <row r="28" spans="1:71" ht="15" thickBot="1">
      <c r="A28" s="16" t="s">
        <v>1349</v>
      </c>
      <c r="B28" s="16">
        <v>92</v>
      </c>
      <c r="C28" s="16">
        <f t="shared" si="0"/>
        <v>183.75</v>
      </c>
      <c r="D28" s="17" t="s">
        <v>1350</v>
      </c>
      <c r="E28" s="17" t="s">
        <v>1351</v>
      </c>
      <c r="F28" s="16" t="s">
        <v>68</v>
      </c>
      <c r="G28" s="17" t="s">
        <v>1352</v>
      </c>
      <c r="H28" s="17" t="s">
        <v>1353</v>
      </c>
      <c r="I28" s="17" t="s">
        <v>1354</v>
      </c>
      <c r="J28" s="17" t="s">
        <v>1355</v>
      </c>
      <c r="K28" s="17" t="s">
        <v>1356</v>
      </c>
      <c r="L28" s="17" t="s">
        <v>1357</v>
      </c>
      <c r="M28" s="17" t="s">
        <v>1358</v>
      </c>
      <c r="N28" s="17" t="s">
        <v>1359</v>
      </c>
      <c r="O28" s="17" t="s">
        <v>1360</v>
      </c>
      <c r="P28" s="17" t="s">
        <v>1361</v>
      </c>
      <c r="Q28" s="17" t="s">
        <v>1362</v>
      </c>
      <c r="R28" s="17" t="s">
        <v>1363</v>
      </c>
      <c r="S28" s="17" t="s">
        <v>1364</v>
      </c>
      <c r="T28" s="17" t="s">
        <v>1365</v>
      </c>
      <c r="U28" s="17" t="s">
        <v>1366</v>
      </c>
      <c r="V28" s="17" t="s">
        <v>1367</v>
      </c>
      <c r="W28" s="17" t="s">
        <v>1368</v>
      </c>
      <c r="X28" s="16" t="s">
        <v>68</v>
      </c>
      <c r="Y28" s="17" t="s">
        <v>1369</v>
      </c>
      <c r="Z28" s="17" t="s">
        <v>1370</v>
      </c>
      <c r="AA28" s="17" t="s">
        <v>1371</v>
      </c>
      <c r="AB28" s="17" t="s">
        <v>1372</v>
      </c>
      <c r="AC28" s="17" t="s">
        <v>1373</v>
      </c>
      <c r="AD28" s="17" t="s">
        <v>1374</v>
      </c>
      <c r="AE28" s="17" t="s">
        <v>756</v>
      </c>
      <c r="AF28" s="17" t="s">
        <v>1375</v>
      </c>
      <c r="AG28" s="17" t="s">
        <v>1021</v>
      </c>
      <c r="AH28" s="16" t="s">
        <v>68</v>
      </c>
      <c r="AI28" s="17" t="s">
        <v>479</v>
      </c>
      <c r="AJ28" s="17" t="s">
        <v>1376</v>
      </c>
      <c r="AK28" s="17" t="s">
        <v>284</v>
      </c>
      <c r="AL28" s="17" t="s">
        <v>1377</v>
      </c>
      <c r="AM28" s="17" t="s">
        <v>479</v>
      </c>
      <c r="AN28" s="17" t="s">
        <v>1378</v>
      </c>
      <c r="AO28" s="17" t="s">
        <v>591</v>
      </c>
      <c r="AP28" s="17" t="s">
        <v>1379</v>
      </c>
      <c r="AQ28" s="17" t="s">
        <v>326</v>
      </c>
      <c r="AR28" s="16" t="s">
        <v>68</v>
      </c>
      <c r="AS28" s="17" t="s">
        <v>1380</v>
      </c>
      <c r="AT28" s="16" t="s">
        <v>68</v>
      </c>
      <c r="AU28" s="17" t="s">
        <v>439</v>
      </c>
      <c r="AV28" s="16" t="s">
        <v>68</v>
      </c>
      <c r="AW28" s="17" t="s">
        <v>1381</v>
      </c>
      <c r="AX28" s="16" t="s">
        <v>68</v>
      </c>
      <c r="AY28" s="17" t="s">
        <v>1306</v>
      </c>
      <c r="AZ28" s="16" t="s">
        <v>68</v>
      </c>
      <c r="BA28" s="17" t="s">
        <v>1382</v>
      </c>
      <c r="BB28" s="16" t="s">
        <v>68</v>
      </c>
      <c r="BC28" s="17" t="s">
        <v>1383</v>
      </c>
      <c r="BD28" s="17" t="s">
        <v>1384</v>
      </c>
      <c r="BE28" s="17" t="s">
        <v>481</v>
      </c>
      <c r="BF28" s="17" t="s">
        <v>1385</v>
      </c>
      <c r="BG28" s="17" t="s">
        <v>1386</v>
      </c>
      <c r="BH28" s="16" t="s">
        <v>68</v>
      </c>
      <c r="BI28" s="17" t="s">
        <v>1387</v>
      </c>
      <c r="BJ28" s="16" t="s">
        <v>68</v>
      </c>
      <c r="BK28" s="17" t="s">
        <v>1388</v>
      </c>
      <c r="BL28" s="17" t="s">
        <v>1389</v>
      </c>
      <c r="BM28" s="17" t="s">
        <v>721</v>
      </c>
      <c r="BN28" s="17" t="s">
        <v>1390</v>
      </c>
      <c r="BO28" s="17" t="s">
        <v>288</v>
      </c>
      <c r="BP28" s="17" t="s">
        <v>1391</v>
      </c>
      <c r="BQ28" s="17" t="s">
        <v>428</v>
      </c>
      <c r="BR28" s="16" t="s">
        <v>68</v>
      </c>
      <c r="BS28" s="17">
        <v>5</v>
      </c>
    </row>
    <row r="29" spans="1:71" ht="15" thickBot="1">
      <c r="A29" s="16" t="s">
        <v>1392</v>
      </c>
      <c r="B29" s="16">
        <v>96</v>
      </c>
      <c r="C29" s="16">
        <f t="shared" si="0"/>
        <v>103.75</v>
      </c>
      <c r="D29" s="17" t="s">
        <v>1393</v>
      </c>
      <c r="E29" s="17" t="s">
        <v>1394</v>
      </c>
      <c r="F29" s="16" t="s">
        <v>68</v>
      </c>
      <c r="G29" s="17" t="s">
        <v>1395</v>
      </c>
      <c r="H29" s="17" t="s">
        <v>1396</v>
      </c>
      <c r="I29" s="17" t="s">
        <v>1397</v>
      </c>
      <c r="J29" s="17" t="s">
        <v>1398</v>
      </c>
      <c r="K29" s="17" t="s">
        <v>1399</v>
      </c>
      <c r="L29" s="17" t="s">
        <v>1400</v>
      </c>
      <c r="M29" s="17" t="s">
        <v>1401</v>
      </c>
      <c r="N29" s="17" t="s">
        <v>1402</v>
      </c>
      <c r="O29" s="17" t="s">
        <v>1403</v>
      </c>
      <c r="P29" s="17" t="s">
        <v>1404</v>
      </c>
      <c r="Q29" s="17" t="s">
        <v>1405</v>
      </c>
      <c r="R29" s="17" t="s">
        <v>1406</v>
      </c>
      <c r="S29" s="17" t="s">
        <v>1407</v>
      </c>
      <c r="T29" s="17" t="s">
        <v>1318</v>
      </c>
      <c r="U29" s="17" t="s">
        <v>1408</v>
      </c>
      <c r="V29" s="17" t="s">
        <v>1409</v>
      </c>
      <c r="W29" s="17" t="s">
        <v>1410</v>
      </c>
      <c r="X29" s="16" t="s">
        <v>68</v>
      </c>
      <c r="Y29" s="17" t="s">
        <v>1411</v>
      </c>
      <c r="Z29" s="17" t="s">
        <v>366</v>
      </c>
      <c r="AA29" s="17" t="s">
        <v>1412</v>
      </c>
      <c r="AB29" s="17" t="s">
        <v>1413</v>
      </c>
      <c r="AC29" s="17" t="s">
        <v>1414</v>
      </c>
      <c r="AD29" s="17" t="s">
        <v>1415</v>
      </c>
      <c r="AE29" s="17" t="s">
        <v>1291</v>
      </c>
      <c r="AF29" s="17" t="s">
        <v>1416</v>
      </c>
      <c r="AG29" s="17" t="s">
        <v>1147</v>
      </c>
      <c r="AH29" s="16" t="s">
        <v>68</v>
      </c>
      <c r="AI29" s="17" t="s">
        <v>937</v>
      </c>
      <c r="AJ29" s="17" t="s">
        <v>1417</v>
      </c>
      <c r="AK29" s="17" t="s">
        <v>1418</v>
      </c>
      <c r="AL29" s="17" t="s">
        <v>1419</v>
      </c>
      <c r="AM29" s="17" t="s">
        <v>229</v>
      </c>
      <c r="AN29" s="17" t="s">
        <v>1420</v>
      </c>
      <c r="AO29" s="17" t="s">
        <v>1421</v>
      </c>
      <c r="AP29" s="17" t="s">
        <v>1422</v>
      </c>
      <c r="AQ29" s="17" t="s">
        <v>482</v>
      </c>
      <c r="AR29" s="16" t="s">
        <v>68</v>
      </c>
      <c r="AS29" s="17" t="s">
        <v>943</v>
      </c>
      <c r="AT29" s="16" t="s">
        <v>68</v>
      </c>
      <c r="AU29" s="17" t="s">
        <v>1109</v>
      </c>
      <c r="AV29" s="16" t="s">
        <v>68</v>
      </c>
      <c r="AW29" s="17" t="s">
        <v>1423</v>
      </c>
      <c r="AX29" s="16" t="s">
        <v>68</v>
      </c>
      <c r="AY29" s="17" t="s">
        <v>669</v>
      </c>
      <c r="AZ29" s="16" t="s">
        <v>68</v>
      </c>
      <c r="BA29" s="17" t="s">
        <v>440</v>
      </c>
      <c r="BB29" s="16" t="s">
        <v>68</v>
      </c>
      <c r="BC29" s="17" t="s">
        <v>1424</v>
      </c>
      <c r="BD29" s="16" t="s">
        <v>68</v>
      </c>
      <c r="BE29" s="17" t="s">
        <v>1425</v>
      </c>
      <c r="BF29" s="16" t="s">
        <v>68</v>
      </c>
      <c r="BG29" s="17" t="s">
        <v>1426</v>
      </c>
      <c r="BH29" s="16" t="s">
        <v>68</v>
      </c>
      <c r="BI29" s="17" t="s">
        <v>1427</v>
      </c>
      <c r="BJ29" s="16" t="s">
        <v>68</v>
      </c>
      <c r="BK29" s="17" t="s">
        <v>543</v>
      </c>
      <c r="BL29" s="16" t="s">
        <v>68</v>
      </c>
      <c r="BM29" s="17" t="s">
        <v>1346</v>
      </c>
      <c r="BN29" s="17" t="s">
        <v>1428</v>
      </c>
      <c r="BO29" s="17" t="s">
        <v>1429</v>
      </c>
      <c r="BP29" s="17" t="s">
        <v>1256</v>
      </c>
      <c r="BQ29" s="17" t="s">
        <v>1430</v>
      </c>
      <c r="BR29" s="16" t="s">
        <v>68</v>
      </c>
      <c r="BS29" s="17" t="s">
        <v>809</v>
      </c>
    </row>
    <row r="30" spans="1:71" ht="15" thickBot="1">
      <c r="A30" s="16" t="s">
        <v>1431</v>
      </c>
      <c r="B30" s="16">
        <v>98</v>
      </c>
      <c r="C30" s="16">
        <f t="shared" si="0"/>
        <v>63.75</v>
      </c>
      <c r="D30" s="17" t="s">
        <v>1432</v>
      </c>
      <c r="E30" s="17" t="s">
        <v>1433</v>
      </c>
      <c r="F30" s="16" t="s">
        <v>68</v>
      </c>
      <c r="G30" s="17" t="s">
        <v>1434</v>
      </c>
      <c r="H30" s="17" t="s">
        <v>1435</v>
      </c>
      <c r="I30" s="17" t="s">
        <v>1436</v>
      </c>
      <c r="J30" s="17" t="s">
        <v>1437</v>
      </c>
      <c r="K30" s="17" t="s">
        <v>1438</v>
      </c>
      <c r="L30" s="16" t="s">
        <v>68</v>
      </c>
      <c r="M30" s="17" t="s">
        <v>1439</v>
      </c>
      <c r="N30" s="17" t="s">
        <v>1440</v>
      </c>
      <c r="O30" s="17" t="s">
        <v>1441</v>
      </c>
      <c r="P30" s="17" t="s">
        <v>1442</v>
      </c>
      <c r="Q30" s="17" t="s">
        <v>1443</v>
      </c>
      <c r="R30" s="17" t="s">
        <v>1444</v>
      </c>
      <c r="S30" s="17" t="s">
        <v>1445</v>
      </c>
      <c r="T30" s="17" t="s">
        <v>1446</v>
      </c>
      <c r="U30" s="17" t="s">
        <v>1447</v>
      </c>
      <c r="V30" s="17" t="s">
        <v>1448</v>
      </c>
      <c r="W30" s="17" t="s">
        <v>1449</v>
      </c>
      <c r="X30" s="16" t="s">
        <v>68</v>
      </c>
      <c r="Y30" s="17" t="s">
        <v>1450</v>
      </c>
      <c r="Z30" s="17" t="s">
        <v>1451</v>
      </c>
      <c r="AA30" s="17" t="s">
        <v>1452</v>
      </c>
      <c r="AB30" s="17" t="s">
        <v>1453</v>
      </c>
      <c r="AC30" s="17" t="s">
        <v>1414</v>
      </c>
      <c r="AD30" s="17" t="s">
        <v>1454</v>
      </c>
      <c r="AE30" s="17" t="s">
        <v>795</v>
      </c>
      <c r="AF30" s="17" t="s">
        <v>1455</v>
      </c>
      <c r="AG30" s="17" t="s">
        <v>1134</v>
      </c>
      <c r="AH30" s="16" t="s">
        <v>68</v>
      </c>
      <c r="AI30" s="17" t="s">
        <v>1456</v>
      </c>
      <c r="AJ30" s="17" t="s">
        <v>1457</v>
      </c>
      <c r="AK30" s="17" t="s">
        <v>1293</v>
      </c>
      <c r="AL30" s="17" t="s">
        <v>1458</v>
      </c>
      <c r="AM30" s="17" t="s">
        <v>719</v>
      </c>
      <c r="AN30" s="17" t="s">
        <v>1459</v>
      </c>
      <c r="AO30" s="17" t="s">
        <v>708</v>
      </c>
      <c r="AP30" s="17">
        <v>11</v>
      </c>
      <c r="AQ30" s="17" t="s">
        <v>218</v>
      </c>
      <c r="AR30" s="16" t="s">
        <v>68</v>
      </c>
      <c r="AS30" s="17" t="s">
        <v>1460</v>
      </c>
      <c r="AT30" s="16" t="s">
        <v>68</v>
      </c>
      <c r="AU30" s="17" t="s">
        <v>581</v>
      </c>
      <c r="AV30" s="16" t="s">
        <v>68</v>
      </c>
      <c r="AW30" s="17" t="s">
        <v>272</v>
      </c>
      <c r="AX30" s="16" t="s">
        <v>68</v>
      </c>
      <c r="AY30" s="17" t="s">
        <v>897</v>
      </c>
      <c r="AZ30" s="16" t="s">
        <v>68</v>
      </c>
      <c r="BA30" s="17" t="s">
        <v>807</v>
      </c>
      <c r="BB30" s="16" t="s">
        <v>68</v>
      </c>
      <c r="BC30" s="17" t="s">
        <v>226</v>
      </c>
      <c r="BD30" s="17" t="s">
        <v>1461</v>
      </c>
      <c r="BE30" s="17" t="s">
        <v>1345</v>
      </c>
      <c r="BF30" s="17" t="s">
        <v>1462</v>
      </c>
      <c r="BG30" s="17" t="s">
        <v>1302</v>
      </c>
      <c r="BH30" s="16" t="s">
        <v>68</v>
      </c>
      <c r="BI30" s="17" t="s">
        <v>1463</v>
      </c>
      <c r="BJ30" s="16" t="s">
        <v>68</v>
      </c>
      <c r="BK30" s="17" t="s">
        <v>909</v>
      </c>
      <c r="BL30" s="16" t="s">
        <v>68</v>
      </c>
      <c r="BM30" s="17" t="s">
        <v>1464</v>
      </c>
      <c r="BN30" s="17" t="s">
        <v>1465</v>
      </c>
      <c r="BO30" s="17" t="s">
        <v>1248</v>
      </c>
      <c r="BP30" s="17" t="s">
        <v>933</v>
      </c>
      <c r="BQ30" s="17">
        <v>2</v>
      </c>
      <c r="BR30" s="16" t="s">
        <v>68</v>
      </c>
      <c r="BS30" s="17" t="s">
        <v>1466</v>
      </c>
    </row>
    <row r="31" spans="1:71" ht="15" thickBo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 ht="15" thickBo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 ht="15" thickBo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 ht="15" thickBo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 ht="15" thickBo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 ht="15" thickBo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</row>
    <row r="37" spans="1:71" ht="15" thickBo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 ht="15" thickBo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</row>
    <row r="39" spans="1:71" ht="15" thickBo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</row>
    <row r="40" spans="1:71" ht="15" thickBo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</row>
    <row r="41" spans="1:71" ht="15" thickBo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</row>
    <row r="42" spans="1:71" ht="15" thickBo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</row>
    <row r="43" spans="1:71" ht="15" thickBo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</row>
    <row r="44" spans="1:71" ht="15" thickBo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</row>
    <row r="45" spans="1:71" ht="15" thickBo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</row>
    <row r="46" spans="1:71" ht="15" thickBo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</row>
    <row r="47" spans="1:71" ht="15" thickBo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</row>
    <row r="48" spans="1:71" ht="15" thickBo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</row>
    <row r="49" spans="1:71" ht="15" thickBo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</row>
    <row r="50" spans="1:71" ht="15" thickBo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</row>
    <row r="51" spans="1:71" ht="15" thickBo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</row>
    <row r="52" spans="1:71" ht="15" thickBo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</row>
    <row r="53" spans="1:71" ht="15" thickBo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</row>
    <row r="54" spans="1:71" ht="15" thickBo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</row>
    <row r="55" spans="1:71" ht="15" thickBo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</row>
    <row r="56" spans="1:71" ht="15" thickBo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</row>
    <row r="57" spans="1:71" ht="15" thickBo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</row>
    <row r="58" spans="1:71" ht="15" thickBo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</row>
    <row r="59" spans="1:71" ht="15" thickBo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</row>
    <row r="60" spans="1:71" ht="15" thickBo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</row>
    <row r="61" spans="1:71" ht="15" thickBo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</row>
    <row r="62" spans="1:71" ht="15" thickBo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</row>
    <row r="63" spans="1:71" ht="15" thickBo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</row>
    <row r="64" spans="1:71" ht="15" thickBo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</row>
    <row r="65" spans="1:71" ht="15" thickBo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</row>
    <row r="66" spans="1:71" ht="15" thickBo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</row>
    <row r="67" spans="1:71" ht="15" thickBo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</row>
    <row r="68" spans="1:71" ht="15" thickBo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</row>
    <row r="69" spans="1:71" ht="15" thickBo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</row>
    <row r="70" spans="1:71" ht="15" thickBo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</row>
    <row r="71" spans="1:71" ht="15" thickBo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</row>
    <row r="72" spans="1:71" ht="15" thickBo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</row>
    <row r="73" spans="1:71" ht="15" thickBo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</row>
    <row r="74" spans="1:71" ht="15" thickBo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</row>
    <row r="75" spans="1:71" ht="15" thickBo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</row>
    <row r="76" spans="1:71" ht="15" thickBo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</row>
    <row r="77" spans="1:71" ht="15" thickBo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</row>
    <row r="78" spans="1:71" ht="15" thickBo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</row>
    <row r="79" spans="1:71" ht="15" thickBo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</row>
    <row r="80" spans="1:71" ht="15" thickBo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</row>
    <row r="81" spans="1:71" ht="15" thickBo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</row>
    <row r="82" spans="1:71" ht="15" thickBo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</row>
    <row r="83" spans="1:71" ht="15" thickBo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</row>
    <row r="84" spans="1:71" ht="15" thickBo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</row>
    <row r="85" spans="1:71" ht="15" thickBo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</row>
    <row r="86" spans="1:71" ht="15" thickBo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</row>
    <row r="87" spans="1:71" ht="15" thickBo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</row>
    <row r="88" spans="1:71" ht="15" thickBo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</row>
    <row r="89" spans="1:71" ht="15" thickBo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</row>
    <row r="90" spans="1:71" ht="15" thickBo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</row>
    <row r="91" spans="1:71" ht="15" thickBo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</row>
    <row r="92" spans="1:71" ht="15" thickBo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</row>
    <row r="93" spans="1:71" ht="15" thickBo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</row>
    <row r="94" spans="1:71" ht="15" thickBo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</row>
    <row r="95" spans="1:71" ht="15" thickBo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</row>
    <row r="96" spans="1:71" ht="15" thickBo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</row>
    <row r="97" spans="1:71" ht="15" thickBo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</row>
    <row r="98" spans="1:71" ht="15" thickBo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</row>
    <row r="99" spans="1:71" ht="15" thickBo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</row>
    <row r="100" spans="1:71" ht="15" thickBo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</row>
    <row r="101" spans="1:71" ht="15" thickBo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</row>
    <row r="102" spans="1:71" ht="15" thickBo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</row>
    <row r="103" spans="1:71" ht="15" thickBo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</row>
    <row r="104" spans="1:71" ht="15" thickBo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</row>
    <row r="105" spans="1:71" ht="15" thickBo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</row>
    <row r="106" spans="1:71" ht="15" thickBo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</row>
    <row r="107" spans="1:71" ht="15" thickBo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</row>
    <row r="108" spans="1:71" ht="15" thickBo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</row>
    <row r="109" spans="1:71" ht="15" thickBo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</row>
    <row r="110" spans="1:71" ht="15" thickBo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</row>
    <row r="111" spans="1:71" ht="15" thickBo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</row>
    <row r="112" spans="1:71" ht="15" thickBo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</row>
    <row r="113" spans="1:71" ht="15" thickBo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</row>
    <row r="114" spans="1:71" ht="15" thickBo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</row>
    <row r="115" spans="1:71" ht="15" thickBo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</row>
    <row r="116" spans="1:71" ht="15" thickBo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</row>
    <row r="117" spans="1:71" ht="15" thickBo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</row>
    <row r="118" spans="1:71" ht="15" thickBo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</row>
    <row r="119" spans="1:71" ht="15" thickBo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</row>
    <row r="120" spans="1:71" ht="15" thickBo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</row>
    <row r="121" spans="1:71" ht="15" thickBo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</row>
    <row r="122" spans="1:71" ht="15" thickBo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</row>
    <row r="123" spans="1:71" ht="15" thickBo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</row>
    <row r="124" spans="1:71" ht="15" thickBo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</row>
    <row r="125" spans="1:71" ht="15" thickBo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</row>
    <row r="126" spans="1:71" ht="15" thickBo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</row>
    <row r="127" spans="1:71" ht="15" thickBo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</row>
    <row r="128" spans="1:71" ht="15" thickBo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</row>
    <row r="129" spans="1:71" ht="15" thickBo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</row>
    <row r="130" spans="1:71" ht="15" thickBo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</row>
    <row r="131" spans="1:71" ht="15" thickBo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</row>
    <row r="132" spans="1:71" ht="15" thickBo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</row>
    <row r="133" spans="1:71" ht="15" thickBo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</row>
    <row r="134" spans="1:71" ht="15" thickBo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</row>
    <row r="135" spans="1:71" ht="15" thickBo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</row>
    <row r="136" spans="1:71" ht="15" thickBo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</row>
    <row r="137" spans="1:71" ht="15" thickBo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</row>
    <row r="138" spans="1:71" ht="15" thickBo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</row>
    <row r="139" spans="1:71" ht="15" thickBo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</row>
    <row r="140" spans="1:71" ht="15" thickBo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</row>
    <row r="141" spans="1:71" ht="15" thickBo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</row>
    <row r="142" spans="1:71" ht="15" thickBo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</row>
    <row r="143" spans="1:71" ht="15" thickBo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</row>
    <row r="144" spans="1:71" ht="15" thickBo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</row>
    <row r="145" spans="1:71" ht="15" thickBo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</row>
    <row r="146" spans="1:71" ht="15" thickBo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</row>
    <row r="147" spans="1:71" ht="15" thickBo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</row>
    <row r="148" spans="1:71" ht="15" thickBo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</row>
    <row r="149" spans="1:71" ht="15" thickBo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</row>
    <row r="150" spans="1:71" ht="15" thickBo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</row>
    <row r="151" spans="1:71" ht="15" thickBo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</row>
    <row r="152" spans="1:71" ht="15" thickBo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</row>
    <row r="153" spans="1:71" ht="15" thickBo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</row>
    <row r="154" spans="1:71" ht="15" thickBo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</row>
    <row r="155" spans="1:71" ht="15" thickBo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</row>
    <row r="156" spans="1:71" ht="15" thickBo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</row>
    <row r="157" spans="1:71" ht="15" thickBo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</row>
    <row r="158" spans="1:71" ht="15" thickBo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</row>
    <row r="159" spans="1:71" ht="15" thickBo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</row>
    <row r="160" spans="1:71" ht="15" thickBo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</row>
    <row r="161" spans="1:71" ht="15" thickBo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</row>
    <row r="162" spans="1:71" ht="15" thickBo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</row>
    <row r="163" spans="1:71" ht="15" thickBo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</row>
    <row r="164" spans="1:71" ht="15" thickBo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</row>
    <row r="165" spans="1:71" ht="15" thickBo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</row>
    <row r="166" spans="1:71" ht="15" thickBo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</row>
    <row r="167" spans="1:71" ht="15" thickBo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</row>
    <row r="168" spans="1:71" ht="15" thickBo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</row>
    <row r="169" spans="1:71" ht="15" thickBo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</row>
    <row r="170" spans="1:71" ht="15" thickBo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</row>
    <row r="171" spans="1:71" ht="15" thickBo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</row>
    <row r="172" spans="1:71" ht="15" thickBo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</row>
    <row r="173" spans="1:71" ht="15" thickBo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</row>
    <row r="174" spans="1:71" ht="15" thickBo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</row>
    <row r="175" spans="1:71" ht="15" thickBo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</row>
    <row r="176" spans="1:71" ht="15" thickBo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</row>
    <row r="177" spans="1:71" ht="15" thickBo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</row>
    <row r="178" spans="1:71" ht="15" thickBo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</row>
    <row r="179" spans="1:71" ht="15" thickBo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</row>
    <row r="180" spans="1:71" ht="15" thickBo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</row>
    <row r="181" spans="1:71" ht="15" thickBo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</row>
    <row r="182" spans="1:71" ht="15" thickBo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</row>
    <row r="183" spans="1:71" ht="15" thickBo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</row>
    <row r="184" spans="1:71" ht="15" thickBo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</row>
    <row r="185" spans="1:71" ht="15" thickBo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</row>
    <row r="186" spans="1:71" ht="15" thickBo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</row>
    <row r="187" spans="1:71" ht="15" thickBo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</row>
    <row r="188" spans="1:71" ht="15" thickBo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</row>
    <row r="189" spans="1:71" ht="15" thickBo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</row>
    <row r="190" spans="1:71" ht="15" thickBo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</row>
    <row r="191" spans="1:71" ht="15" thickBo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</row>
    <row r="192" spans="1:71" ht="15" thickBo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</row>
    <row r="193" spans="1:71" ht="15" thickBo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</row>
    <row r="194" spans="1:71" ht="15" thickBo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</row>
    <row r="195" spans="1:71" ht="15" thickBo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</row>
    <row r="196" spans="1:71" ht="15" thickBo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</row>
    <row r="197" spans="1:71" ht="15" thickBo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</row>
    <row r="198" spans="1:71" ht="15" thickBo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</row>
    <row r="199" spans="1:71" ht="15" thickBo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</row>
    <row r="200" spans="1:71" ht="15" thickBo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</row>
    <row r="201" spans="1:71" ht="15" thickBo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</row>
    <row r="202" spans="1:71" ht="15" thickBo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</row>
    <row r="203" spans="1:71" ht="15" thickBo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</row>
    <row r="204" spans="1:71" ht="15" thickBo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</row>
    <row r="205" spans="1:71" ht="15" thickBo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</row>
    <row r="206" spans="1:71" ht="15" thickBo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</row>
    <row r="207" spans="1:71" ht="15" thickBo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</row>
    <row r="208" spans="1:71" ht="15" thickBo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</row>
    <row r="209" spans="1:71" ht="15" thickBo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</row>
    <row r="210" spans="1:71" ht="15" thickBo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</row>
    <row r="211" spans="1:71" ht="15" thickBo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</row>
    <row r="212" spans="1:71" ht="15" thickBo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</row>
    <row r="213" spans="1:71" ht="15" thickBo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</row>
    <row r="214" spans="1:71" ht="15" thickBo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</row>
    <row r="215" spans="1:71" ht="15" thickBo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</row>
    <row r="216" spans="1:71" ht="15" thickBo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</row>
    <row r="217" spans="1:71" ht="15" thickBo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</row>
    <row r="218" spans="1:71" ht="15" thickBo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</row>
    <row r="219" spans="1:71" ht="15" thickBo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</row>
    <row r="220" spans="1:71" ht="15" thickBo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</row>
    <row r="221" spans="1:71" ht="15" thickBo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</row>
    <row r="222" spans="1:71" ht="15" thickBo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</row>
    <row r="223" spans="1:71" ht="15" thickBo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</row>
    <row r="224" spans="1:71" ht="15" thickBo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</row>
    <row r="225" spans="1:71" ht="15" thickBo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</row>
    <row r="226" spans="1:71" ht="15" thickBo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</row>
    <row r="227" spans="1:71" ht="15" thickBo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</row>
    <row r="228" spans="1:71" ht="15" thickBo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</row>
    <row r="229" spans="1:71" ht="15" thickBo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</row>
    <row r="230" spans="1:71" ht="15" thickBo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</row>
    <row r="231" spans="1:71" ht="15" thickBo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</row>
    <row r="232" spans="1:71" ht="15" thickBo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</row>
    <row r="233" spans="1:71" ht="15" thickBo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</row>
    <row r="234" spans="1:71" ht="15" thickBo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</row>
    <row r="235" spans="1:71" ht="15" thickBo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</row>
    <row r="236" spans="1:71" ht="15" thickBo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</row>
    <row r="237" spans="1:71" ht="15" thickBo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</row>
    <row r="238" spans="1:71" ht="15" thickBo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</row>
    <row r="239" spans="1:71" ht="15" thickBo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</row>
    <row r="240" spans="1:71" ht="15" thickBo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</row>
    <row r="241" spans="1:71" ht="15" thickBo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</row>
    <row r="242" spans="1:71" ht="15" thickBo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</row>
    <row r="243" spans="1:71" ht="15" thickBo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</row>
    <row r="244" spans="1:71" ht="15" thickBo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</row>
    <row r="245" spans="1:71" ht="15" thickBo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</row>
    <row r="246" spans="1:71" ht="15" thickBo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</row>
    <row r="247" spans="1:71" ht="15" thickBo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</row>
    <row r="248" spans="1:71" ht="15" thickBo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</row>
    <row r="249" spans="1:71" ht="15" thickBo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</row>
    <row r="250" spans="1:71" ht="15" thickBo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</row>
    <row r="251" spans="1:71" ht="15" thickBo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</row>
    <row r="252" spans="1:71" ht="15" thickBo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</row>
    <row r="253" spans="1:71" ht="15" thickBo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</row>
    <row r="254" spans="1:71" ht="15" thickBo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</row>
    <row r="255" spans="1:71" ht="15" thickBo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</row>
    <row r="256" spans="1:71" ht="15" thickBo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</row>
    <row r="257" spans="1:71" ht="15" thickBo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</row>
    <row r="258" spans="1:71" ht="15" thickBo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</row>
    <row r="259" spans="1:71" ht="15" thickBo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</row>
    <row r="260" spans="1:71" ht="15" thickBo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</row>
    <row r="261" spans="1:71" ht="15" thickBo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</row>
    <row r="262" spans="1:71" ht="15" thickBo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</row>
    <row r="263" spans="1:71" ht="15" thickBo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</row>
    <row r="264" spans="1:71" ht="15" thickBo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</row>
    <row r="265" spans="1:71" ht="15" thickBo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</row>
    <row r="266" spans="1:71" ht="15" thickBo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</row>
    <row r="267" spans="1:71" ht="15" thickBo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</row>
    <row r="268" spans="1:71" ht="15" thickBo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</row>
    <row r="269" spans="1:71" ht="15" thickBo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</row>
    <row r="270" spans="1:71" ht="15" thickBo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</row>
    <row r="271" spans="1:71" ht="15" thickBo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</row>
    <row r="272" spans="1:71" ht="15" thickBo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</row>
    <row r="273" spans="1:71" ht="15" thickBo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</row>
    <row r="274" spans="1:71" ht="15" thickBo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</row>
    <row r="275" spans="1:71" ht="15" thickBo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</row>
    <row r="276" spans="1:71" ht="15" thickBo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</row>
    <row r="277" spans="1:71" ht="15" thickBo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</row>
    <row r="278" spans="1:71" ht="15" thickBo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</row>
    <row r="279" spans="1:71" ht="15" thickBo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</row>
    <row r="280" spans="1:71" ht="15" thickBo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</row>
    <row r="281" spans="1:71" ht="15" thickBo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</row>
    <row r="282" spans="1:71" ht="15" thickBo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</row>
    <row r="283" spans="1:71" ht="15" thickBo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</row>
    <row r="284" spans="1:71" ht="15" thickBo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</row>
    <row r="285" spans="1:71" ht="15" thickBo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</row>
    <row r="286" spans="1:71" ht="15" thickBo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</row>
    <row r="287" spans="1:71" ht="15" thickBo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</row>
    <row r="288" spans="1:71" ht="15" thickBo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</row>
    <row r="289" spans="1:71" ht="15" thickBo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</row>
    <row r="290" spans="1:71" ht="15" thickBo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</row>
    <row r="291" spans="1:71" ht="15" thickBo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</row>
    <row r="292" spans="1:71" ht="15" thickBo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</row>
    <row r="293" spans="1:71" ht="15" thickBo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</row>
    <row r="294" spans="1:71" ht="15" thickBo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</row>
    <row r="295" spans="1:71" ht="15" thickBo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</row>
    <row r="296" spans="1:71" ht="15" thickBo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</row>
    <row r="297" spans="1:71" ht="15" thickBo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</row>
    <row r="298" spans="1:71" ht="15" thickBo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</row>
    <row r="299" spans="1:71" ht="15" thickBo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</row>
    <row r="300" spans="1:71" ht="15" thickBo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</row>
    <row r="301" spans="1:71" ht="15" thickBo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</row>
    <row r="302" spans="1:71" ht="15" thickBo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</row>
    <row r="303" spans="1:71" ht="15" thickBo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</row>
    <row r="304" spans="1:71" ht="15" thickBo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</row>
    <row r="305" spans="1:71" ht="15" thickBo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</row>
    <row r="306" spans="1:71" ht="15" thickBo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</row>
    <row r="307" spans="1:71" ht="15" thickBo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</row>
    <row r="308" spans="1:71" ht="15" thickBo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</row>
    <row r="309" spans="1:71" ht="15" thickBo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</row>
    <row r="310" spans="1:71" ht="15" thickBo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</row>
    <row r="311" spans="1:71" ht="15" thickBo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</row>
    <row r="312" spans="1:71" ht="15" thickBo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</row>
    <row r="313" spans="1:71" ht="15" thickBo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</row>
    <row r="314" spans="1:71" ht="15" thickBo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</row>
    <row r="315" spans="1:71" ht="15" thickBo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</row>
    <row r="316" spans="1:71" ht="15" thickBo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</row>
    <row r="317" spans="1:71" ht="15" thickBo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</row>
    <row r="318" spans="1:71" ht="15" thickBo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</row>
    <row r="319" spans="1:71" ht="15" thickBo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</row>
    <row r="320" spans="1:71" ht="15" thickBo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</row>
    <row r="321" spans="1:71" ht="15" thickBo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</row>
    <row r="322" spans="1:71" ht="15" thickBo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</row>
    <row r="323" spans="1:71" ht="15" thickBo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</row>
    <row r="324" spans="1:71" ht="15" thickBo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</row>
    <row r="325" spans="1:71" ht="15" thickBo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</row>
    <row r="326" spans="1:71" ht="15" thickBo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</row>
    <row r="327" spans="1:71" ht="15" thickBo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</row>
    <row r="328" spans="1:71" ht="15" thickBo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</row>
    <row r="329" spans="1:71" ht="15" thickBo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</row>
    <row r="330" spans="1:71" ht="15" thickBo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</row>
    <row r="331" spans="1:71" ht="15" thickBo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</row>
    <row r="332" spans="1:71" ht="15" thickBo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</row>
    <row r="333" spans="1:71" ht="15" thickBo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</row>
    <row r="334" spans="1:71" ht="15" thickBo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</row>
    <row r="335" spans="1:71" ht="15" thickBo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</row>
    <row r="336" spans="1:71" ht="15" thickBo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</row>
    <row r="337" spans="1:71" ht="15" thickBo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</row>
    <row r="338" spans="1:71" ht="15" thickBo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</row>
    <row r="339" spans="1:71" ht="15" thickBo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</row>
    <row r="340" spans="1:71" ht="15" thickBo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</row>
    <row r="341" spans="1:71" ht="15" thickBo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</row>
    <row r="342" spans="1:71" ht="15" thickBo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</row>
    <row r="343" spans="1:71" ht="15" thickBo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</row>
    <row r="344" spans="1:71" ht="15" thickBo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</row>
    <row r="345" spans="1:71" ht="15" thickBo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</row>
    <row r="346" spans="1:71" ht="15" thickBo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</row>
    <row r="347" spans="1:71" ht="15" thickBo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</row>
    <row r="348" spans="1:71" ht="15" thickBo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</row>
    <row r="349" spans="1:71" ht="15" thickBo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</row>
    <row r="350" spans="1:71" ht="15" thickBo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</row>
    <row r="351" spans="1:71" ht="15" thickBo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</row>
    <row r="352" spans="1:71" ht="15" thickBo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</row>
    <row r="353" spans="1:71" ht="15" thickBo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</row>
    <row r="354" spans="1:71" ht="15" thickBo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</row>
    <row r="355" spans="1:71" ht="15" thickBo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</row>
    <row r="356" spans="1:71" ht="15" thickBo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</row>
    <row r="357" spans="1:71" ht="15" thickBo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</row>
    <row r="358" spans="1:71" ht="15" thickBo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</row>
    <row r="359" spans="1:71" ht="15" thickBo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</row>
    <row r="360" spans="1:71" ht="15" thickBo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</row>
    <row r="361" spans="1:71" ht="15" thickBo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</row>
    <row r="362" spans="1:71" ht="15" thickBo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</row>
    <row r="363" spans="1:71" ht="15" thickBo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</row>
    <row r="364" spans="1:71" ht="15" thickBo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</row>
    <row r="365" spans="1:71" ht="15" thickBo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</row>
    <row r="366" spans="1:71" ht="15" thickBo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</row>
    <row r="367" spans="1:71" ht="15" thickBo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</row>
    <row r="368" spans="1:71" ht="15" thickBo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</row>
    <row r="369" spans="1:71" ht="15" thickBo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</row>
    <row r="370" spans="1:71" ht="15" thickBo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</row>
    <row r="371" spans="1:71" ht="15" thickBo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</row>
    <row r="372" spans="1:71" ht="15" thickBo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</row>
    <row r="373" spans="1:71" ht="15" thickBo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</row>
    <row r="374" spans="1:71" ht="15" thickBo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</row>
    <row r="375" spans="1:71" ht="15" thickBo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</row>
    <row r="376" spans="1:71" ht="15" thickBo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</row>
    <row r="377" spans="1:71" ht="15" thickBo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</row>
    <row r="378" spans="1:71" ht="15" thickBo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</row>
    <row r="379" spans="1:71" ht="15" thickBo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</row>
    <row r="380" spans="1:71" ht="15" thickBo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</row>
    <row r="381" spans="1:71" ht="15" thickBo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</row>
    <row r="382" spans="1:71" ht="15" thickBo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</row>
    <row r="383" spans="1:71" ht="15" thickBo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</row>
    <row r="384" spans="1:71" ht="15" thickBo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</row>
    <row r="385" spans="1:71" ht="15" thickBo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</row>
    <row r="386" spans="1:71" ht="15" thickBo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</row>
    <row r="387" spans="1:71" ht="15" thickBo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</row>
    <row r="388" spans="1:71" ht="15" thickBo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</row>
    <row r="389" spans="1:71" ht="15" thickBo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</row>
    <row r="390" spans="1:71" ht="15" thickBo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</row>
    <row r="391" spans="1:71" ht="15" thickBo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</row>
    <row r="392" spans="1:71" ht="15" thickBo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</row>
    <row r="393" spans="1:71" ht="15" thickBo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</row>
    <row r="394" spans="1:71" ht="15" thickBo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</row>
    <row r="395" spans="1:71" ht="15" thickBo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</row>
    <row r="396" spans="1:71" ht="15" thickBo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</row>
    <row r="397" spans="1:71" ht="15" thickBo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</row>
    <row r="398" spans="1:71" ht="15" thickBo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</row>
    <row r="399" spans="1:71" ht="15" thickBo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</row>
    <row r="400" spans="1:71" ht="15" thickBo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</row>
    <row r="401" spans="1:71" ht="15" thickBo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</row>
    <row r="402" spans="1:71" ht="15" thickBo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</row>
    <row r="403" spans="1:71" ht="15" thickBo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</row>
    <row r="404" spans="1:71" ht="15" thickBo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</row>
    <row r="405" spans="1:71" ht="15" thickBo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</row>
    <row r="406" spans="1:71" ht="15" thickBo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</row>
    <row r="407" spans="1:71" ht="15" thickBo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</row>
    <row r="408" spans="1:71" ht="15" thickBo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</row>
    <row r="409" spans="1:71" ht="15" thickBo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</row>
    <row r="410" spans="1:71" ht="15" thickBo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</row>
    <row r="411" spans="1:71" ht="15" thickBo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</row>
    <row r="412" spans="1:71" ht="15" thickBo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</row>
    <row r="413" spans="1:71" ht="15" thickBo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</row>
    <row r="414" spans="1:71" ht="15" thickBo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</row>
    <row r="415" spans="1:71" ht="15" thickBo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</row>
    <row r="416" spans="1:71" ht="15" thickBo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</row>
    <row r="417" spans="1:71" ht="15" thickBo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</row>
    <row r="418" spans="1:71" ht="15" thickBo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</row>
    <row r="419" spans="1:71" ht="15" thickBo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</row>
    <row r="420" spans="1:71" ht="15" thickBo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</row>
    <row r="421" spans="1:71" ht="15" thickBo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</row>
    <row r="422" spans="1:71" ht="15" thickBo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</row>
    <row r="423" spans="1:71" ht="15" thickBo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</row>
    <row r="424" spans="1:71" ht="15" thickBo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</row>
    <row r="425" spans="1:71" ht="15" thickBo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</row>
    <row r="426" spans="1:71" ht="15" thickBo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</row>
    <row r="427" spans="1:71" ht="15" thickBo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</row>
    <row r="428" spans="1:71" ht="15" thickBo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</row>
    <row r="429" spans="1:71" ht="15" thickBo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</row>
    <row r="430" spans="1:71" ht="15" thickBo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</row>
    <row r="431" spans="1:71" ht="15" thickBo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</row>
    <row r="432" spans="1:71" ht="15" thickBo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</row>
    <row r="433" spans="1:71" ht="15" thickBo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</row>
    <row r="434" spans="1:71" ht="15" thickBo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</row>
    <row r="435" spans="1:71" ht="15" thickBo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</row>
    <row r="436" spans="1:71" ht="15" thickBo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</row>
    <row r="437" spans="1:71" ht="15" thickBo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</row>
    <row r="438" spans="1:71" ht="15" thickBo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</row>
    <row r="439" spans="1:71" ht="15" thickBo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</row>
    <row r="440" spans="1:71" ht="15" thickBo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</row>
    <row r="441" spans="1:71" ht="15" thickBo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</row>
    <row r="442" spans="1:71" ht="15" thickBo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</row>
    <row r="443" spans="1:71" ht="15" thickBo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</row>
    <row r="444" spans="1:71" ht="15" thickBo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</row>
    <row r="445" spans="1:71" ht="15" thickBo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</row>
    <row r="446" spans="1:71" ht="15" thickBo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</row>
    <row r="447" spans="1:71" ht="15" thickBo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</row>
    <row r="448" spans="1:71" ht="15" thickBo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</row>
    <row r="449" spans="1:71" ht="15" thickBo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</row>
    <row r="450" spans="1:71" ht="15" thickBo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</row>
    <row r="451" spans="1:71" ht="15" thickBo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</row>
    <row r="452" spans="1:71" ht="15" thickBo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</row>
    <row r="453" spans="1:71" ht="15" thickBo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</row>
    <row r="454" spans="1:71" ht="15" thickBo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</row>
    <row r="455" spans="1:71" ht="15" thickBo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</row>
    <row r="456" spans="1:71" ht="15" thickBo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</row>
    <row r="457" spans="1:71" ht="15" thickBo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</row>
    <row r="458" spans="1:71" ht="15" thickBo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</row>
    <row r="459" spans="1:71" ht="15" thickBo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</row>
    <row r="460" spans="1:71" ht="15" thickBo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</row>
    <row r="461" spans="1:71" ht="15" thickBo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</row>
    <row r="462" spans="1:71" ht="15" thickBo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</row>
    <row r="463" spans="1:71" ht="15" thickBo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</row>
    <row r="464" spans="1:71" ht="15" thickBo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</row>
    <row r="465" spans="1:71" ht="15" thickBo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</row>
    <row r="466" spans="1:71" ht="15" thickBo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</row>
    <row r="467" spans="1:71" ht="15" thickBo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</row>
    <row r="468" spans="1:71" ht="15" thickBo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</row>
    <row r="469" spans="1:71" ht="15" thickBo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</row>
    <row r="470" spans="1:71" ht="15" thickBo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</row>
    <row r="471" spans="1:71" ht="15" thickBo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</row>
    <row r="472" spans="1:71" ht="15" thickBo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</row>
    <row r="473" spans="1:71" ht="15" thickBo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</row>
    <row r="474" spans="1:71" ht="15" thickBo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</row>
    <row r="475" spans="1:71" ht="15" thickBo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</row>
    <row r="476" spans="1:71" ht="15" thickBo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</row>
    <row r="477" spans="1:71" ht="15" thickBo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</row>
    <row r="478" spans="1:71" ht="15" thickBo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</row>
    <row r="479" spans="1:71" ht="15" thickBo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</row>
    <row r="480" spans="1:71" ht="15" thickBo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</row>
    <row r="481" spans="1:71" ht="15" thickBo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</row>
    <row r="482" spans="1:71" ht="15" thickBo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</row>
    <row r="483" spans="1:71" ht="15" thickBo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</row>
    <row r="484" spans="1:71" ht="15" thickBo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</row>
    <row r="485" spans="1:71" ht="15" thickBo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</row>
    <row r="486" spans="1:71" ht="15" thickBo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</row>
    <row r="487" spans="1:71" ht="15" thickBo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</row>
    <row r="488" spans="1:71" ht="15" thickBo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</row>
    <row r="489" spans="1:71" ht="15" thickBo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</row>
    <row r="490" spans="1:71" ht="15" thickBo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</row>
    <row r="491" spans="1:71" ht="15" thickBo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</row>
    <row r="492" spans="1:71" ht="15" thickBo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</row>
    <row r="493" spans="1:71" ht="15" thickBo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</row>
    <row r="494" spans="1:71" ht="15" thickBo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</row>
    <row r="495" spans="1:71" ht="15" thickBo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</row>
    <row r="496" spans="1:71" ht="15" thickBo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</row>
    <row r="497" spans="1:71" ht="15" thickBo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</row>
    <row r="498" spans="1:71" ht="15" thickBo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</row>
    <row r="499" spans="1:71" ht="15" thickBo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</row>
    <row r="500" spans="1:71" ht="15" thickBo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</row>
    <row r="501" spans="1:71" ht="15" thickBo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</row>
    <row r="502" spans="1:71" ht="15" thickBo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</row>
    <row r="503" spans="1:71" ht="15" thickBo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</row>
    <row r="504" spans="1:71" ht="15" thickBo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</row>
    <row r="505" spans="1:71" ht="15" thickBo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</row>
    <row r="506" spans="1:71" ht="15" thickBo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</row>
    <row r="507" spans="1:71" ht="15" thickBo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</row>
    <row r="508" spans="1:71" ht="15" thickBo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</row>
    <row r="509" spans="1:71" ht="15" thickBo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</row>
    <row r="510" spans="1:71" ht="15" thickBo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</row>
    <row r="511" spans="1:71" ht="15" thickBo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</row>
    <row r="512" spans="1:71" ht="15" thickBo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</row>
    <row r="513" spans="1:71" ht="15" thickBo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</row>
    <row r="514" spans="1:71" ht="15" thickBo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</row>
    <row r="515" spans="1:71" ht="15" thickBo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</row>
    <row r="516" spans="1:71" ht="15" thickBo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</row>
    <row r="517" spans="1:71" ht="15" thickBo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</row>
    <row r="518" spans="1:71" ht="15" thickBo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</row>
    <row r="519" spans="1:71" ht="15" thickBo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</row>
    <row r="520" spans="1:71" ht="15" thickBo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</row>
    <row r="521" spans="1:71" ht="15" thickBo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</row>
    <row r="522" spans="1:71" ht="15" thickBo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</row>
    <row r="523" spans="1:71" ht="15" thickBo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</row>
    <row r="524" spans="1:71" ht="15" thickBo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</row>
    <row r="525" spans="1:71" ht="15" thickBo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</row>
    <row r="526" spans="1:71" ht="15" thickBo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</row>
    <row r="527" spans="1:71" ht="15" thickBo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</row>
    <row r="528" spans="1:71" ht="15" thickBo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</row>
    <row r="529" spans="1:71" ht="15" thickBo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</row>
    <row r="530" spans="1:71" ht="15" thickBo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</row>
    <row r="531" spans="1:71" ht="15" thickBo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</row>
    <row r="532" spans="1:71" ht="15" thickBo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</row>
    <row r="533" spans="1:71" ht="15" thickBo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</row>
    <row r="534" spans="1:71" ht="15" thickBo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</row>
    <row r="535" spans="1:71" ht="15" thickBo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</row>
    <row r="536" spans="1:71" ht="15" thickBo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</row>
    <row r="537" spans="1:71" ht="15" thickBo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</row>
    <row r="538" spans="1:71" ht="15" thickBo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</row>
    <row r="539" spans="1:71" ht="15" thickBo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</row>
    <row r="540" spans="1:71" ht="15" thickBo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</row>
    <row r="541" spans="1:71" ht="15" thickBo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</row>
    <row r="542" spans="1:71" ht="15" thickBo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</row>
    <row r="543" spans="1:71" ht="15" thickBo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</row>
    <row r="544" spans="1:71" ht="15" thickBo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</row>
    <row r="545" spans="1:71" ht="15" thickBo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</row>
    <row r="546" spans="1:71" ht="15" thickBo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</row>
    <row r="547" spans="1:71" ht="15" thickBo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</row>
    <row r="548" spans="1:71" ht="15" thickBo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</row>
    <row r="549" spans="1:71" ht="15" thickBo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</row>
    <row r="550" spans="1:71" ht="15" thickBo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</row>
    <row r="551" spans="1:71" ht="15" thickBo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</row>
    <row r="552" spans="1:71" ht="15" thickBo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</row>
    <row r="553" spans="1:71" ht="15" thickBo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</row>
    <row r="554" spans="1:71" ht="15" thickBo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</row>
    <row r="555" spans="1:71" ht="15" thickBo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</row>
    <row r="556" spans="1:71" ht="15" thickBo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</row>
    <row r="557" spans="1:71" ht="15" thickBo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</row>
    <row r="558" spans="1:71" ht="15" thickBo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</row>
    <row r="559" spans="1:71" ht="15" thickBo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</row>
    <row r="560" spans="1:71" ht="15" thickBo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</row>
    <row r="561" spans="1:71" ht="15" thickBo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</row>
    <row r="562" spans="1:71" ht="15" thickBo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</row>
    <row r="563" spans="1:71" ht="15" thickBo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</row>
    <row r="564" spans="1:71" ht="15" thickBo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</row>
    <row r="565" spans="1:71" ht="15" thickBo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</row>
    <row r="566" spans="1:71" ht="15" thickBo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</row>
    <row r="567" spans="1:71" ht="15" thickBo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</row>
    <row r="568" spans="1:71" ht="15" thickBo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</row>
    <row r="569" spans="1:71" ht="15" thickBo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</row>
    <row r="570" spans="1:71" ht="15" thickBo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</row>
    <row r="571" spans="1:71" ht="15" thickBo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</row>
    <row r="572" spans="1:71" ht="15" thickBo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</row>
    <row r="573" spans="1:71" ht="15" thickBo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</row>
    <row r="574" spans="1:71" ht="15" thickBo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</row>
    <row r="575" spans="1:71" ht="15" thickBo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</row>
    <row r="576" spans="1:71" ht="15" thickBo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</row>
    <row r="577" spans="1:71" ht="15" thickBo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</row>
    <row r="578" spans="1:71" ht="15" thickBo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</row>
    <row r="579" spans="1:71" ht="15" thickBo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</row>
    <row r="580" spans="1:71" ht="15" thickBo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</row>
    <row r="581" spans="1:71" ht="15" thickBo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</row>
    <row r="582" spans="1:71" ht="15" thickBo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</row>
    <row r="583" spans="1:71" ht="15" thickBo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</row>
    <row r="584" spans="1:71" ht="15" thickBo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</row>
    <row r="585" spans="1:71" ht="15" thickBo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</row>
    <row r="586" spans="1:71" ht="15" thickBo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</row>
    <row r="587" spans="1:71" ht="15" thickBo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</row>
    <row r="588" spans="1:71" ht="15" thickBo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</row>
    <row r="589" spans="1:71" ht="15" thickBo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</row>
    <row r="590" spans="1:71" ht="15" thickBo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</row>
    <row r="591" spans="1:71" ht="15" thickBo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</row>
    <row r="592" spans="1:71" ht="15" thickBo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</row>
    <row r="593" spans="1:71" ht="15" thickBo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</row>
    <row r="594" spans="1:71" ht="15" thickBo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</row>
    <row r="595" spans="1:71" ht="15" thickBo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</row>
    <row r="596" spans="1:71" ht="15" thickBo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</row>
    <row r="597" spans="1:71" ht="15" thickBo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</row>
    <row r="598" spans="1:71" ht="15" thickBo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</row>
    <row r="599" spans="1:71" ht="15" thickBo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</row>
    <row r="600" spans="1:71" ht="15" thickBo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</row>
    <row r="601" spans="1:71" ht="15" thickBo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</row>
    <row r="602" spans="1:71" ht="15" thickBo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</row>
    <row r="603" spans="1:71" ht="15" thickBo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</row>
    <row r="604" spans="1:71" ht="15" thickBo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</row>
    <row r="605" spans="1:71" ht="15" thickBo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</row>
    <row r="606" spans="1:71" ht="15" thickBo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</row>
    <row r="607" spans="1:71" ht="15" thickBo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</row>
    <row r="608" spans="1:71" ht="15" thickBo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</row>
    <row r="609" spans="1:71" ht="15" thickBo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</row>
    <row r="610" spans="1:71" ht="15" thickBo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</row>
    <row r="611" spans="1:71" ht="15" thickBo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</row>
    <row r="612" spans="1:71" ht="15" thickBo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</row>
    <row r="613" spans="1:71" ht="15" thickBo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</row>
    <row r="614" spans="1:71" ht="15" thickBo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</row>
    <row r="615" spans="1:71" ht="15" thickBo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</row>
    <row r="616" spans="1:71" ht="15" thickBo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</row>
    <row r="617" spans="1:71" ht="15" thickBo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</row>
    <row r="618" spans="1:71" ht="15" thickBo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</row>
    <row r="619" spans="1:71" ht="15" thickBo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</row>
    <row r="620" spans="1:71" ht="15" thickBo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</row>
    <row r="621" spans="1:71" ht="15" thickBo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</row>
    <row r="622" spans="1:71" ht="15" thickBo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</row>
    <row r="623" spans="1:71" ht="15" thickBo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</row>
    <row r="624" spans="1:71" ht="15" thickBo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</row>
    <row r="625" spans="1:71" ht="15" thickBo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</row>
    <row r="626" spans="1:71" ht="15" thickBo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</row>
    <row r="627" spans="1:71" ht="15" thickBo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</row>
    <row r="628" spans="1:71" ht="15" thickBo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</row>
    <row r="629" spans="1:71" ht="15" thickBo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</row>
    <row r="630" spans="1:71" ht="15" thickBo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</row>
    <row r="631" spans="1:71" ht="15" thickBo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</row>
    <row r="632" spans="1:71" ht="15" thickBo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</row>
    <row r="633" spans="1:71" ht="15" thickBo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</row>
    <row r="634" spans="1:71" ht="15" thickBo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</row>
    <row r="635" spans="1:71" ht="15" thickBo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</row>
    <row r="636" spans="1:71" ht="15" thickBo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</row>
    <row r="637" spans="1:71" ht="15" thickBo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</row>
    <row r="638" spans="1:71" ht="15" thickBo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</row>
    <row r="639" spans="1:71" ht="15" thickBo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</row>
    <row r="640" spans="1:71" ht="15" thickBo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</row>
    <row r="641" spans="1:71" ht="15" thickBo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</row>
    <row r="642" spans="1:71" ht="15" thickBo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</row>
    <row r="643" spans="1:71" ht="15" thickBo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</row>
    <row r="644" spans="1:71" ht="15" thickBo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</row>
    <row r="645" spans="1:71" ht="15" thickBo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</row>
    <row r="646" spans="1:71" ht="15" thickBo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</row>
    <row r="647" spans="1:71" ht="15" thickBo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</row>
    <row r="648" spans="1:71" ht="15" thickBo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</row>
    <row r="649" spans="1:71" ht="15" thickBo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</row>
    <row r="650" spans="1:71" ht="15" thickBo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</row>
    <row r="651" spans="1:71" ht="15" thickBo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</row>
    <row r="652" spans="1:71" ht="15" thickBo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</row>
    <row r="653" spans="1:71" ht="15" thickBo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</row>
    <row r="654" spans="1:71" ht="15" thickBo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</row>
    <row r="655" spans="1:71" ht="15" thickBo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</row>
    <row r="656" spans="1:71" ht="15" thickBo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</row>
    <row r="657" spans="1:71" ht="15" thickBo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</row>
    <row r="658" spans="1:71" ht="15" thickBo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</row>
    <row r="659" spans="1:71" ht="15" thickBo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</row>
    <row r="660" spans="1:71" ht="15" thickBo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</row>
    <row r="661" spans="1:71" ht="15" thickBo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</row>
    <row r="662" spans="1:71" ht="15" thickBo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</row>
    <row r="663" spans="1:71" ht="15" thickBo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</row>
    <row r="664" spans="1:71" ht="15" thickBo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</row>
    <row r="665" spans="1:71" ht="15" thickBo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</row>
    <row r="666" spans="1:71" ht="15" thickBo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</row>
    <row r="667" spans="1:71" ht="15" thickBo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</row>
    <row r="668" spans="1:71" ht="15" thickBo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</row>
    <row r="669" spans="1:71" ht="15" thickBo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</row>
    <row r="670" spans="1:71" ht="15" thickBo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</row>
    <row r="671" spans="1:71" ht="15" thickBo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</row>
    <row r="672" spans="1:71" ht="15" thickBo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</row>
    <row r="673" spans="1:71" ht="15" thickBo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</row>
    <row r="674" spans="1:71" ht="15" thickBo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</row>
    <row r="675" spans="1:71" ht="15" thickBo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</row>
    <row r="676" spans="1:71" ht="15" thickBo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</row>
    <row r="677" spans="1:71" ht="15" thickBo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</row>
    <row r="678" spans="1:71" ht="15" thickBo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</row>
    <row r="679" spans="1:71" ht="15" thickBo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</row>
    <row r="680" spans="1:71" ht="15" thickBo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</row>
    <row r="681" spans="1:71" ht="15" thickBo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</row>
    <row r="682" spans="1:71" ht="15" thickBo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</row>
    <row r="683" spans="1:71" ht="15" thickBo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</row>
    <row r="684" spans="1:71" ht="15" thickBo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</row>
    <row r="685" spans="1:71" ht="15" thickBo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</row>
    <row r="686" spans="1:71" ht="15" thickBo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</row>
    <row r="687" spans="1:71" ht="15" thickBo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</row>
    <row r="688" spans="1:71" ht="15" thickBo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</row>
    <row r="689" spans="1:71" ht="15" thickBo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</row>
    <row r="690" spans="1:71" ht="15" thickBo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</row>
    <row r="691" spans="1:71" ht="15" thickBo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</row>
    <row r="692" spans="1:71" ht="15" thickBo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</row>
    <row r="693" spans="1:71" ht="15" thickBo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</row>
    <row r="694" spans="1:71" ht="15" thickBo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</row>
    <row r="695" spans="1:71" ht="15" thickBo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</row>
    <row r="696" spans="1:71" ht="15" thickBo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</row>
    <row r="697" spans="1:71" ht="15" thickBo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</row>
    <row r="698" spans="1:71" ht="15" thickBo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</row>
    <row r="699" spans="1:71" ht="15" thickBo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</row>
    <row r="700" spans="1:71" ht="15" thickBo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</row>
    <row r="701" spans="1:71" ht="15" thickBo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</row>
    <row r="702" spans="1:71" ht="15" thickBo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</row>
    <row r="703" spans="1:71" ht="15" thickBo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</row>
    <row r="704" spans="1:71" ht="15" thickBo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</row>
    <row r="705" spans="1:71" ht="15" thickBo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</row>
    <row r="706" spans="1:71" ht="15" thickBo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</row>
    <row r="707" spans="1:71" ht="15" thickBo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</row>
    <row r="708" spans="1:71" ht="15" thickBo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</row>
    <row r="709" spans="1:71" ht="15" thickBo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</row>
    <row r="710" spans="1:71" ht="15" thickBo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</row>
    <row r="711" spans="1:71" ht="15" thickBo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</row>
    <row r="712" spans="1:71" ht="15" thickBo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</row>
    <row r="713" spans="1:71" ht="15" thickBo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</row>
    <row r="714" spans="1:71" ht="15" thickBo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</row>
    <row r="715" spans="1:71" ht="15" thickBo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</row>
    <row r="716" spans="1:71" ht="15" thickBo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</row>
    <row r="717" spans="1:71" ht="15" thickBo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</row>
    <row r="718" spans="1:71" ht="15" thickBo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</row>
    <row r="719" spans="1:71" ht="15" thickBo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</row>
    <row r="720" spans="1:71" ht="15" thickBo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</row>
    <row r="721" spans="1:71" ht="15" thickBo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</row>
    <row r="722" spans="1:71" ht="15" thickBo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</row>
    <row r="723" spans="1:71" ht="15" thickBo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</row>
    <row r="724" spans="1:71" ht="15" thickBo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</row>
    <row r="725" spans="1:71" ht="15" thickBo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</row>
    <row r="726" spans="1:71" ht="15" thickBo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</row>
    <row r="727" spans="1:71" ht="15" thickBo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</row>
    <row r="728" spans="1:71" ht="15" thickBo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</row>
    <row r="729" spans="1:71" ht="15" thickBo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</row>
    <row r="730" spans="1:71" ht="15" thickBo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</row>
    <row r="731" spans="1:71" ht="15" thickBo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</row>
    <row r="732" spans="1:71" ht="15" thickBo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</row>
    <row r="733" spans="1:71" ht="15" thickBo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</row>
    <row r="734" spans="1:71" ht="15" thickBo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</row>
    <row r="735" spans="1:71" ht="15" thickBo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</row>
    <row r="736" spans="1:71" ht="15" thickBo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</row>
    <row r="737" spans="1:71" ht="15" thickBo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</row>
    <row r="738" spans="1:71" ht="15" thickBo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</row>
    <row r="739" spans="1:71" ht="15" thickBo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</row>
    <row r="740" spans="1:71" ht="15" thickBo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</row>
    <row r="741" spans="1:71" ht="15" thickBo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</row>
    <row r="742" spans="1:71" ht="15" thickBo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</row>
    <row r="743" spans="1:71" ht="15" thickBo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</row>
    <row r="744" spans="1:71" ht="15" thickBo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</row>
    <row r="745" spans="1:71" ht="15" thickBo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</row>
    <row r="746" spans="1:71" ht="15" thickBo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</row>
    <row r="747" spans="1:71" ht="15" thickBo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</row>
    <row r="748" spans="1:71" ht="15" thickBo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</row>
    <row r="749" spans="1:71" ht="15" thickBo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</row>
    <row r="750" spans="1:71" ht="15" thickBo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</row>
    <row r="751" spans="1:71" ht="15" thickBo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</row>
    <row r="752" spans="1:71" ht="15" thickBo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</row>
    <row r="753" spans="1:71" ht="15" thickBo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</row>
    <row r="754" spans="1:71" ht="15" thickBo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</row>
    <row r="755" spans="1:71" ht="15" thickBo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</row>
    <row r="756" spans="1:71" ht="15" thickBo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</row>
    <row r="757" spans="1:71" ht="15" thickBo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</row>
    <row r="758" spans="1:71" ht="15" thickBo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</row>
    <row r="759" spans="1:71" ht="15" thickBo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</row>
    <row r="760" spans="1:71" ht="15" thickBo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</row>
    <row r="761" spans="1:71" ht="15" thickBo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</row>
    <row r="762" spans="1:71" ht="15" thickBo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</row>
    <row r="763" spans="1:71" ht="15" thickBo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</row>
    <row r="764" spans="1:71" ht="15" thickBo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</row>
    <row r="765" spans="1:71" ht="15" thickBo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</row>
    <row r="766" spans="1:71" ht="15" thickBo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</row>
    <row r="767" spans="1:71" ht="15" thickBo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</row>
    <row r="768" spans="1:71" ht="15" thickBo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</row>
    <row r="769" spans="1:71" ht="15" thickBo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</row>
    <row r="770" spans="1:71" ht="15" thickBo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</row>
    <row r="771" spans="1:71" ht="15" thickBo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</row>
    <row r="772" spans="1:71" ht="15" thickBo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</row>
    <row r="773" spans="1:71" ht="15" thickBo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</row>
    <row r="774" spans="1:71" ht="15" thickBo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</row>
    <row r="775" spans="1:71" ht="15" thickBo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</row>
    <row r="776" spans="1:71" ht="15" thickBo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</row>
    <row r="777" spans="1:71" ht="15" thickBo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</row>
    <row r="778" spans="1:71" ht="15" thickBo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</row>
    <row r="779" spans="1:71" ht="15" thickBo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</row>
    <row r="780" spans="1:71" ht="15" thickBo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</row>
    <row r="781" spans="1:71" ht="15" thickBo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</row>
    <row r="782" spans="1:71" ht="15" thickBo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</row>
    <row r="783" spans="1:71" ht="15" thickBo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</row>
    <row r="784" spans="1:71" ht="15" thickBo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</row>
    <row r="785" spans="1:71" ht="15" thickBo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</row>
    <row r="786" spans="1:71" ht="15" thickBo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</row>
    <row r="787" spans="1:71" ht="15" thickBo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</row>
    <row r="788" spans="1:71" ht="15" thickBo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</row>
    <row r="789" spans="1:71" ht="15" thickBo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</row>
    <row r="790" spans="1:71" ht="15" thickBo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</row>
    <row r="791" spans="1:71" ht="15" thickBo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</row>
    <row r="792" spans="1:71" ht="15" thickBo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</row>
    <row r="793" spans="1:71" ht="15" thickBo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</row>
    <row r="794" spans="1:71" ht="15" thickBo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</row>
    <row r="795" spans="1:71" ht="15" thickBo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</row>
    <row r="796" spans="1:71" ht="15" thickBo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</row>
    <row r="797" spans="1:71" ht="15" thickBo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</row>
    <row r="798" spans="1:71" ht="15" thickBo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</row>
    <row r="799" spans="1:71" ht="15" thickBo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</row>
    <row r="800" spans="1:71" ht="15" thickBo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</row>
    <row r="801" spans="1:71" ht="15" thickBo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</row>
    <row r="802" spans="1:71" ht="15" thickBo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</row>
    <row r="803" spans="1:71" ht="15" thickBo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</row>
    <row r="804" spans="1:71" ht="15" thickBo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</row>
    <row r="805" spans="1:71" ht="15" thickBo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</row>
    <row r="806" spans="1:71" ht="15" thickBo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</row>
    <row r="807" spans="1:71" ht="15" thickBo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</row>
    <row r="808" spans="1:71" ht="15" thickBo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</row>
    <row r="809" spans="1:71" ht="15" thickBo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</row>
    <row r="810" spans="1:71" ht="15" thickBo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</row>
    <row r="811" spans="1:71" ht="15" thickBo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</row>
    <row r="812" spans="1:71" ht="15" thickBo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</row>
    <row r="813" spans="1:71" ht="15" thickBo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</row>
    <row r="814" spans="1:71" ht="15" thickBo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</row>
    <row r="815" spans="1:71" ht="15" thickBo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</row>
    <row r="816" spans="1:71" ht="15" thickBo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</row>
    <row r="817" spans="1:71" ht="15" thickBo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</row>
    <row r="818" spans="1:71" ht="15" thickBo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</row>
    <row r="819" spans="1:71" ht="15" thickBo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</row>
    <row r="820" spans="1:71" ht="15" thickBo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</row>
    <row r="821" spans="1:71" ht="15" thickBo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</row>
    <row r="822" spans="1:71" ht="15" thickBo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</row>
    <row r="823" spans="1:71" ht="15" thickBo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</row>
    <row r="824" spans="1:71" ht="15" thickBo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</row>
    <row r="825" spans="1:71" ht="15" thickBo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</row>
    <row r="826" spans="1:71" ht="15" thickBo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</row>
    <row r="827" spans="1:71" ht="15" thickBo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</row>
    <row r="828" spans="1:71" ht="15" thickBo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</row>
    <row r="829" spans="1:71" ht="15" thickBo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</row>
    <row r="830" spans="1:71" ht="15" thickBo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</row>
    <row r="831" spans="1:71" ht="15" thickBo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</row>
    <row r="832" spans="1:71" ht="15" thickBo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</row>
    <row r="833" spans="1:71" ht="15" thickBo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</row>
    <row r="834" spans="1:71" ht="15" thickBo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</row>
    <row r="835" spans="1:71" ht="15" thickBo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</row>
    <row r="836" spans="1:71" ht="15" thickBo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</row>
    <row r="837" spans="1:71" ht="15" thickBo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</row>
    <row r="838" spans="1:71" ht="15" thickBo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</row>
    <row r="839" spans="1:71" ht="15" thickBo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</row>
    <row r="840" spans="1:71" ht="15" thickBo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</row>
    <row r="841" spans="1:71" ht="15" thickBo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</row>
    <row r="842" spans="1:71" ht="15" thickBo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</row>
    <row r="843" spans="1:71" ht="15" thickBo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</row>
    <row r="844" spans="1:71" ht="15" thickBo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</row>
    <row r="845" spans="1:71" ht="15" thickBo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</row>
    <row r="846" spans="1:71" ht="15" thickBo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</row>
    <row r="847" spans="1:71" ht="15" thickBo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</row>
    <row r="848" spans="1:71" ht="15" thickBo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</row>
    <row r="849" spans="1:71" ht="15" thickBo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</row>
    <row r="850" spans="1:71" ht="15" thickBo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</row>
    <row r="851" spans="1:71" ht="15" thickBo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</row>
    <row r="852" spans="1:71" ht="15" thickBo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</row>
    <row r="853" spans="1:71" ht="15" thickBo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</row>
    <row r="854" spans="1:71" ht="15" thickBo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</row>
    <row r="855" spans="1:71" ht="15" thickBo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</row>
    <row r="856" spans="1:71" ht="15" thickBo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</row>
    <row r="857" spans="1:71" ht="15" thickBo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</row>
    <row r="858" spans="1:71" ht="15" thickBo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</row>
    <row r="859" spans="1:71" ht="15" thickBo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</row>
    <row r="860" spans="1:71" ht="15" thickBo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</row>
    <row r="861" spans="1:71" ht="15" thickBo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</row>
    <row r="862" spans="1:71" ht="15" thickBo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</row>
    <row r="863" spans="1:71" ht="15" thickBo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</row>
    <row r="864" spans="1:71" ht="15" thickBo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</row>
    <row r="865" spans="1:71" ht="15" thickBo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</row>
    <row r="866" spans="1:71" ht="15" thickBo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</row>
    <row r="867" spans="1:71" ht="15" thickBo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</row>
    <row r="868" spans="1:71" ht="15" thickBo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</row>
    <row r="869" spans="1:71" ht="15" thickBo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</row>
    <row r="870" spans="1:71" ht="15" thickBo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</row>
    <row r="871" spans="1:71" ht="15" thickBo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</row>
    <row r="872" spans="1:71" ht="15" thickBo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</row>
    <row r="873" spans="1:71" ht="15" thickBo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</row>
    <row r="874" spans="1:71" ht="15" thickBo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</row>
    <row r="875" spans="1:71" ht="15" thickBo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</row>
    <row r="876" spans="1:71" ht="15" thickBo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</row>
    <row r="877" spans="1:71" ht="15" thickBo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</row>
    <row r="878" spans="1:71" ht="15" thickBo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</row>
    <row r="879" spans="1:71" ht="15" thickBo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</row>
    <row r="880" spans="1:71" ht="15" thickBo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</row>
    <row r="881" spans="1:71" ht="15" thickBo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</row>
    <row r="882" spans="1:71" ht="15" thickBo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</row>
    <row r="883" spans="1:71" ht="15" thickBo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</row>
    <row r="884" spans="1:71" ht="15" thickBo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</row>
    <row r="885" spans="1:71" ht="15" thickBo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</row>
    <row r="886" spans="1:71" ht="15" thickBo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</row>
    <row r="887" spans="1:71" ht="15" thickBo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</row>
    <row r="888" spans="1:71" ht="15" thickBo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</row>
    <row r="889" spans="1:71" ht="15" thickBo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</row>
    <row r="890" spans="1:71" ht="15" thickBo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</row>
    <row r="891" spans="1:71" ht="15" thickBo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</row>
    <row r="892" spans="1:71" ht="15" thickBo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</row>
    <row r="893" spans="1:71" ht="15" thickBo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</row>
    <row r="894" spans="1:71" ht="15" thickBo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</row>
    <row r="895" spans="1:71" ht="15" thickBo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</row>
    <row r="896" spans="1:71" ht="15" thickBo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</row>
    <row r="897" spans="1:71" ht="15" thickBo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</row>
    <row r="898" spans="1:71" ht="15" thickBo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</row>
    <row r="899" spans="1:71" ht="15" thickBo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</row>
    <row r="900" spans="1:71" ht="15" thickBo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</row>
    <row r="901" spans="1:71" ht="15" thickBo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</row>
    <row r="902" spans="1:71" ht="15" thickBo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</row>
    <row r="903" spans="1:71" ht="15" thickBo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</row>
    <row r="904" spans="1:71" ht="15" thickBo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</row>
    <row r="905" spans="1:71" ht="15" thickBo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</row>
    <row r="906" spans="1:71" ht="15" thickBo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</row>
    <row r="907" spans="1:71" ht="15" thickBo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</row>
    <row r="908" spans="1:71" ht="15" thickBo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</row>
    <row r="909" spans="1:71" ht="15" thickBo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</row>
    <row r="910" spans="1:71" ht="15" thickBo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</row>
    <row r="911" spans="1:71" ht="15" thickBo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</row>
    <row r="912" spans="1:71" ht="15" thickBo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</row>
    <row r="913" spans="1:71" ht="15" thickBo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</row>
    <row r="914" spans="1:71" ht="15" thickBo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</row>
    <row r="915" spans="1:71" ht="15" thickBo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</row>
    <row r="916" spans="1:71" ht="15" thickBo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</row>
    <row r="917" spans="1:71" ht="15" thickBo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</row>
    <row r="918" spans="1:71" ht="15" thickBo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</row>
    <row r="919" spans="1:71" ht="15" thickBo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</row>
    <row r="920" spans="1:71" ht="15" thickBo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</row>
    <row r="921" spans="1:71" ht="15" thickBo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</row>
    <row r="922" spans="1:71" ht="15" thickBo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</row>
    <row r="923" spans="1:71" ht="15" thickBo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</row>
    <row r="924" spans="1:71" ht="15" thickBo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</row>
    <row r="925" spans="1:71" ht="15" thickBo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</row>
    <row r="926" spans="1:71" ht="15" thickBo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</row>
    <row r="927" spans="1:71" ht="15" thickBo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</row>
    <row r="928" spans="1:71" ht="15" thickBo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</row>
    <row r="929" spans="1:71" ht="15" thickBo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</row>
    <row r="930" spans="1:71" ht="15" thickBo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</row>
    <row r="931" spans="1:71" ht="15" thickBo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</row>
    <row r="932" spans="1:71" ht="15" thickBo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</row>
    <row r="933" spans="1:71" ht="15" thickBo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</row>
    <row r="934" spans="1:71" ht="15" thickBo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</row>
    <row r="935" spans="1:71" ht="15" thickBo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</row>
    <row r="936" spans="1:71" ht="15" thickBo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</row>
    <row r="937" spans="1:71" ht="15" thickBo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</row>
    <row r="938" spans="1:71" ht="15" thickBo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</row>
    <row r="939" spans="1:71" ht="15" thickBo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</row>
    <row r="940" spans="1:71" ht="15" thickBo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</row>
    <row r="941" spans="1:71" ht="15" thickBo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</row>
    <row r="942" spans="1:71" ht="15" thickBo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</row>
    <row r="943" spans="1:71" ht="15" thickBo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</row>
    <row r="944" spans="1:71" ht="15" thickBo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</row>
    <row r="945" spans="1:71" ht="15" thickBo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</row>
    <row r="946" spans="1:71" ht="15" thickBo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</row>
    <row r="947" spans="1:71" ht="15" thickBo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</row>
    <row r="948" spans="1:71" ht="15" thickBo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</row>
    <row r="949" spans="1:71" ht="15" thickBo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</row>
    <row r="950" spans="1:71" ht="15" thickBo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</row>
    <row r="951" spans="1:71" ht="15" thickBo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</row>
    <row r="952" spans="1:71" ht="15" thickBo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</row>
    <row r="953" spans="1:71" ht="15" thickBo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</row>
    <row r="954" spans="1:71" ht="15" thickBo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</row>
    <row r="955" spans="1:71" ht="15" thickBo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</row>
    <row r="956" spans="1:71" ht="15" thickBo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</row>
    <row r="957" spans="1:71" ht="15" thickBo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</row>
    <row r="958" spans="1:71" ht="15" thickBo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</row>
    <row r="959" spans="1:71" ht="15" thickBo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</row>
    <row r="960" spans="1:71" ht="15" thickBo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</row>
    <row r="961" spans="1:71" ht="15" thickBo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</row>
    <row r="962" spans="1:71" ht="15" thickBo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</row>
    <row r="963" spans="1:71" ht="15" thickBo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</row>
    <row r="964" spans="1:71" ht="15" thickBo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</row>
    <row r="965" spans="1:71" ht="15" thickBo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</row>
    <row r="966" spans="1:71" ht="15" thickBo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</row>
    <row r="967" spans="1:71" ht="15" thickBo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</row>
    <row r="968" spans="1:71" ht="15" thickBo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</row>
    <row r="969" spans="1:71" ht="15" thickBo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</row>
    <row r="970" spans="1:71" ht="15" thickBo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</row>
    <row r="971" spans="1:71" ht="15" thickBo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</row>
    <row r="972" spans="1:71" ht="15" thickBo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</row>
    <row r="973" spans="1:71" ht="15" thickBo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</row>
    <row r="974" spans="1:71" ht="15" thickBo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</row>
    <row r="975" spans="1:71" ht="15" thickBo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</row>
    <row r="976" spans="1:71" ht="15" thickBo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</row>
    <row r="977" spans="1:71" ht="15" thickBo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</row>
    <row r="978" spans="1:71" ht="15" thickBo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</row>
    <row r="979" spans="1:71" ht="15" thickBo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</row>
    <row r="980" spans="1:71" ht="15" thickBo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</row>
    <row r="981" spans="1:71" ht="15" thickBo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</row>
    <row r="982" spans="1:71" ht="15" thickBo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</row>
    <row r="983" spans="1:71" ht="15" thickBo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</row>
    <row r="984" spans="1:71" ht="15" thickBo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</row>
    <row r="985" spans="1:71" ht="15" thickBo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</row>
    <row r="986" spans="1:71" ht="15" thickBo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</row>
    <row r="987" spans="1:71" ht="15" thickBo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</row>
    <row r="988" spans="1:71" ht="15" thickBo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</row>
    <row r="989" spans="1:71" ht="15" thickBo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</row>
    <row r="990" spans="1:71" ht="15" thickBo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</row>
    <row r="991" spans="1:71" ht="15" thickBo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</row>
    <row r="992" spans="1:71" ht="15" thickBo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</row>
    <row r="993" spans="1:71" ht="15" thickBo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</row>
    <row r="994" spans="1:71" ht="15" thickBo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</row>
    <row r="995" spans="1:71" ht="15" thickBo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</row>
    <row r="996" spans="1:71" ht="15" thickBo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</row>
    <row r="997" spans="1:71" ht="15" thickBo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</row>
    <row r="998" spans="1:71" ht="15" thickBo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</row>
    <row r="999" spans="1:71" ht="15" thickBo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</row>
    <row r="1000" spans="1:71" ht="15" thickBo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6F26-EA90-4AE9-BF2E-905B5BFE9C8B}">
  <dimension ref="A1:BR1000"/>
  <sheetViews>
    <sheetView tabSelected="1" workbookViewId="0"/>
  </sheetViews>
  <sheetFormatPr baseColWidth="10" defaultColWidth="14.453125" defaultRowHeight="14.5"/>
  <cols>
    <col min="1" max="2" width="7.54296875" style="7" customWidth="1"/>
    <col min="3" max="3" width="8.81640625" style="7" customWidth="1"/>
    <col min="4" max="6" width="6.81640625" style="7" customWidth="1"/>
    <col min="7" max="7" width="8.81640625" style="7" customWidth="1"/>
    <col min="8" max="8" width="6.81640625" style="7" customWidth="1"/>
    <col min="9" max="9" width="7.81640625" style="7" customWidth="1"/>
    <col min="10" max="10" width="7.54296875" style="7" customWidth="1"/>
    <col min="11" max="11" width="5.81640625" style="7" customWidth="1"/>
    <col min="12" max="12" width="7.26953125" style="7" customWidth="1"/>
    <col min="13" max="13" width="7.81640625" style="7" customWidth="1"/>
    <col min="14" max="14" width="7" style="7" customWidth="1"/>
    <col min="15" max="15" width="6.81640625" style="7" customWidth="1"/>
    <col min="16" max="16" width="6.7265625" style="7" customWidth="1"/>
    <col min="17" max="17" width="5.81640625" style="7" customWidth="1"/>
    <col min="18" max="18" width="7.453125" style="7" customWidth="1"/>
    <col min="19" max="19" width="6.81640625" style="7" customWidth="1"/>
    <col min="20" max="20" width="8.453125" style="7" customWidth="1"/>
    <col min="21" max="21" width="8.81640625" style="7" customWidth="1"/>
    <col min="22" max="22" width="7.453125" style="7" customWidth="1"/>
    <col min="23" max="23" width="5.81640625" style="7" customWidth="1"/>
    <col min="24" max="24" width="7.7265625" style="7" customWidth="1"/>
    <col min="25" max="25" width="5.81640625" style="7" customWidth="1"/>
    <col min="26" max="26" width="7.26953125" style="7" customWidth="1"/>
    <col min="27" max="27" width="5.81640625" style="7" customWidth="1"/>
    <col min="28" max="28" width="7.7265625" style="7" customWidth="1"/>
    <col min="29" max="29" width="6.81640625" style="7" customWidth="1"/>
    <col min="30" max="30" width="7.54296875" style="7" customWidth="1"/>
    <col min="31" max="31" width="5.81640625" style="7" customWidth="1"/>
    <col min="32" max="32" width="7.54296875" style="7" customWidth="1"/>
    <col min="33" max="33" width="5.26953125" style="7" customWidth="1"/>
    <col min="34" max="34" width="7.453125" style="7" customWidth="1"/>
    <col min="35" max="35" width="6.81640625" style="7" customWidth="1"/>
    <col min="36" max="36" width="7.7265625" style="7" customWidth="1"/>
    <col min="37" max="37" width="6.81640625" style="7" customWidth="1"/>
    <col min="38" max="38" width="7.08984375" style="7" customWidth="1"/>
    <col min="39" max="39" width="6.81640625" style="7" customWidth="1"/>
    <col min="40" max="40" width="7.26953125" style="7" customWidth="1"/>
    <col min="41" max="41" width="5.81640625" style="7" customWidth="1"/>
    <col min="42" max="42" width="8.453125" style="7" customWidth="1"/>
    <col min="43" max="43" width="5.26953125" style="7" customWidth="1"/>
    <col min="44" max="44" width="7.7265625" style="7" customWidth="1"/>
    <col min="45" max="45" width="5.26953125" style="7" customWidth="1"/>
    <col min="46" max="46" width="7.54296875" style="7" customWidth="1"/>
    <col min="47" max="47" width="5.26953125" style="7" customWidth="1"/>
    <col min="48" max="48" width="7.7265625" style="7" customWidth="1"/>
    <col min="49" max="49" width="5.81640625" style="7" customWidth="1"/>
    <col min="50" max="50" width="7.54296875" style="7" customWidth="1"/>
    <col min="51" max="51" width="5.81640625" style="7" customWidth="1"/>
    <col min="52" max="52" width="7.54296875" style="7" customWidth="1"/>
    <col min="53" max="53" width="5.81640625" style="7" customWidth="1"/>
    <col min="54" max="54" width="7.54296875" style="7" customWidth="1"/>
    <col min="55" max="55" width="5.81640625" style="7" customWidth="1"/>
    <col min="56" max="56" width="7.453125" style="7" customWidth="1"/>
    <col min="57" max="57" width="6.81640625" style="7" customWidth="1"/>
    <col min="58" max="58" width="7.54296875" style="7" customWidth="1"/>
    <col min="59" max="59" width="5.81640625" style="7" customWidth="1"/>
    <col min="60" max="60" width="7.453125" style="7" customWidth="1"/>
    <col min="61" max="61" width="5.26953125" style="7" customWidth="1"/>
    <col min="62" max="62" width="7.81640625" style="7" customWidth="1"/>
    <col min="63" max="63" width="5.26953125" style="7" customWidth="1"/>
    <col min="64" max="64" width="7.7265625" style="7" customWidth="1"/>
    <col min="65" max="65" width="6.81640625" style="7" customWidth="1"/>
    <col min="66" max="66" width="7.7265625" style="7" customWidth="1"/>
    <col min="67" max="67" width="5.81640625" style="7" customWidth="1"/>
    <col min="68" max="68" width="7.54296875" style="7" customWidth="1"/>
    <col min="69" max="69" width="5.26953125" style="7" customWidth="1"/>
    <col min="70" max="70" width="6.81640625" style="7" customWidth="1"/>
    <col min="71" max="16384" width="14.453125" style="7"/>
  </cols>
  <sheetData>
    <row r="1" spans="1:70">
      <c r="A1" s="10" t="s">
        <v>69</v>
      </c>
      <c r="B1" s="10" t="s">
        <v>179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10" t="s">
        <v>25</v>
      </c>
      <c r="AC1" s="10" t="s">
        <v>26</v>
      </c>
      <c r="AD1" s="10" t="s">
        <v>27</v>
      </c>
      <c r="AE1" s="10" t="s">
        <v>28</v>
      </c>
      <c r="AF1" s="10" t="s">
        <v>29</v>
      </c>
      <c r="AG1" s="10" t="s">
        <v>30</v>
      </c>
      <c r="AH1" s="10" t="s">
        <v>31</v>
      </c>
      <c r="AI1" s="10" t="s">
        <v>32</v>
      </c>
      <c r="AJ1" s="10" t="s">
        <v>33</v>
      </c>
      <c r="AK1" s="10" t="s">
        <v>34</v>
      </c>
      <c r="AL1" s="10" t="s">
        <v>35</v>
      </c>
      <c r="AM1" s="10" t="s">
        <v>36</v>
      </c>
      <c r="AN1" s="10" t="s">
        <v>37</v>
      </c>
      <c r="AO1" s="10" t="s">
        <v>38</v>
      </c>
      <c r="AP1" s="10" t="s">
        <v>39</v>
      </c>
      <c r="AQ1" s="10" t="s">
        <v>40</v>
      </c>
      <c r="AR1" s="10" t="s">
        <v>41</v>
      </c>
      <c r="AS1" s="10" t="s">
        <v>42</v>
      </c>
      <c r="AT1" s="10" t="s">
        <v>43</v>
      </c>
      <c r="AU1" s="10" t="s">
        <v>44</v>
      </c>
      <c r="AV1" s="10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0" t="s">
        <v>50</v>
      </c>
      <c r="BB1" s="10" t="s">
        <v>51</v>
      </c>
      <c r="BC1" s="10" t="s">
        <v>52</v>
      </c>
      <c r="BD1" s="10" t="s">
        <v>53</v>
      </c>
      <c r="BE1" s="10" t="s">
        <v>54</v>
      </c>
      <c r="BF1" s="10" t="s">
        <v>55</v>
      </c>
      <c r="BG1" s="10" t="s">
        <v>56</v>
      </c>
      <c r="BH1" s="10" t="s">
        <v>57</v>
      </c>
      <c r="BI1" s="10" t="s">
        <v>58</v>
      </c>
      <c r="BJ1" s="10" t="s">
        <v>59</v>
      </c>
      <c r="BK1" s="10" t="s">
        <v>60</v>
      </c>
      <c r="BL1" s="10" t="s">
        <v>61</v>
      </c>
      <c r="BM1" s="10" t="s">
        <v>62</v>
      </c>
      <c r="BN1" s="10" t="s">
        <v>63</v>
      </c>
      <c r="BO1" s="10" t="s">
        <v>64</v>
      </c>
      <c r="BP1" s="10" t="s">
        <v>65</v>
      </c>
      <c r="BQ1" s="10" t="s">
        <v>66</v>
      </c>
      <c r="BR1" s="10" t="s">
        <v>67</v>
      </c>
    </row>
    <row r="2" spans="1:70">
      <c r="A2" s="11">
        <v>0</v>
      </c>
      <c r="B2" s="11">
        <f>2023.75-(A2/0.0499)</f>
        <v>2023.75</v>
      </c>
      <c r="C2" s="12">
        <v>20376.310000000001</v>
      </c>
      <c r="D2" s="12">
        <v>191.98</v>
      </c>
      <c r="E2" s="12" t="s">
        <v>68</v>
      </c>
      <c r="F2" s="12">
        <v>412.77</v>
      </c>
      <c r="G2" s="12">
        <v>3118.75</v>
      </c>
      <c r="H2" s="12">
        <v>205.72</v>
      </c>
      <c r="I2" s="12">
        <v>6548.86</v>
      </c>
      <c r="J2" s="12">
        <v>126.5</v>
      </c>
      <c r="K2" s="12">
        <v>44.65</v>
      </c>
      <c r="L2" s="12">
        <v>17.57</v>
      </c>
      <c r="M2" s="12">
        <v>4975.07</v>
      </c>
      <c r="N2" s="12">
        <v>60.39</v>
      </c>
      <c r="O2" s="12">
        <v>128.97</v>
      </c>
      <c r="P2" s="12">
        <v>15.54</v>
      </c>
      <c r="Q2" s="12">
        <v>51.3</v>
      </c>
      <c r="R2" s="12">
        <v>7.9</v>
      </c>
      <c r="S2" s="12">
        <v>50.37</v>
      </c>
      <c r="T2" s="12">
        <v>22.62</v>
      </c>
      <c r="U2" s="12">
        <v>22856.38</v>
      </c>
      <c r="V2" s="12">
        <v>131.86000000000001</v>
      </c>
      <c r="W2" s="12" t="s">
        <v>68</v>
      </c>
      <c r="X2" s="12">
        <v>72.02</v>
      </c>
      <c r="Y2" s="12" t="s">
        <v>68</v>
      </c>
      <c r="Z2" s="12">
        <v>17.649999999999999</v>
      </c>
      <c r="AA2" s="12">
        <v>19.46</v>
      </c>
      <c r="AB2" s="12">
        <v>7.22</v>
      </c>
      <c r="AC2" s="12">
        <v>235.32</v>
      </c>
      <c r="AD2" s="12">
        <v>7.97</v>
      </c>
      <c r="AE2" s="12">
        <v>16.670000000000002</v>
      </c>
      <c r="AF2" s="12">
        <v>3.2</v>
      </c>
      <c r="AG2" s="12" t="s">
        <v>68</v>
      </c>
      <c r="AH2" s="12">
        <v>2.02</v>
      </c>
      <c r="AI2" s="12">
        <v>142.41999999999999</v>
      </c>
      <c r="AJ2" s="12">
        <v>2.69</v>
      </c>
      <c r="AK2" s="12">
        <v>155.22</v>
      </c>
      <c r="AL2" s="12">
        <v>2.48</v>
      </c>
      <c r="AM2" s="12">
        <v>271.94</v>
      </c>
      <c r="AN2" s="12">
        <v>3.24</v>
      </c>
      <c r="AO2" s="12">
        <v>6.14</v>
      </c>
      <c r="AP2" s="12">
        <v>1.62</v>
      </c>
      <c r="AQ2" s="12" t="s">
        <v>68</v>
      </c>
      <c r="AR2" s="12">
        <v>4.3099999999999996</v>
      </c>
      <c r="AS2" s="12" t="s">
        <v>68</v>
      </c>
      <c r="AT2" s="12">
        <v>4.04</v>
      </c>
      <c r="AU2" s="12" t="s">
        <v>68</v>
      </c>
      <c r="AV2" s="12">
        <v>5.73</v>
      </c>
      <c r="AW2" s="12" t="s">
        <v>68</v>
      </c>
      <c r="AX2" s="12">
        <v>4.25</v>
      </c>
      <c r="AY2" s="12" t="s">
        <v>68</v>
      </c>
      <c r="AZ2" s="12">
        <v>6.45</v>
      </c>
      <c r="BA2" s="12" t="s">
        <v>68</v>
      </c>
      <c r="BB2" s="12">
        <v>13.06</v>
      </c>
      <c r="BC2" s="12" t="s">
        <v>68</v>
      </c>
      <c r="BD2" s="12">
        <v>4.32</v>
      </c>
      <c r="BE2" s="12">
        <v>30.77</v>
      </c>
      <c r="BF2" s="12">
        <v>13.6</v>
      </c>
      <c r="BG2" s="12" t="s">
        <v>68</v>
      </c>
      <c r="BH2" s="12">
        <v>21.2</v>
      </c>
      <c r="BI2" s="12" t="s">
        <v>68</v>
      </c>
      <c r="BJ2" s="12">
        <v>3.12</v>
      </c>
      <c r="BK2" s="12" t="s">
        <v>68</v>
      </c>
      <c r="BL2" s="12">
        <v>4.71</v>
      </c>
      <c r="BM2" s="12">
        <v>60.9</v>
      </c>
      <c r="BN2" s="12">
        <v>3.73</v>
      </c>
      <c r="BO2" s="12">
        <v>13.29</v>
      </c>
      <c r="BP2" s="12">
        <v>2</v>
      </c>
      <c r="BQ2" s="12" t="s">
        <v>68</v>
      </c>
      <c r="BR2" s="12">
        <v>4.42</v>
      </c>
    </row>
    <row r="3" spans="1:70">
      <c r="A3" s="11">
        <v>1</v>
      </c>
      <c r="B3" s="11">
        <f t="shared" ref="B3:B51" si="0">2023.75-(A3/0.0499)</f>
        <v>2003.7099198396793</v>
      </c>
      <c r="C3" s="12">
        <v>20972.13</v>
      </c>
      <c r="D3" s="12">
        <v>200.95</v>
      </c>
      <c r="E3" s="12">
        <v>602.98</v>
      </c>
      <c r="F3" s="12">
        <v>311.35000000000002</v>
      </c>
      <c r="G3" s="12">
        <v>2808.88</v>
      </c>
      <c r="H3" s="12">
        <v>205.57</v>
      </c>
      <c r="I3" s="12">
        <v>5417.98</v>
      </c>
      <c r="J3" s="12">
        <v>127.11</v>
      </c>
      <c r="K3" s="12">
        <v>40.03</v>
      </c>
      <c r="L3" s="12">
        <v>16.98</v>
      </c>
      <c r="M3" s="12">
        <v>4999.93</v>
      </c>
      <c r="N3" s="12">
        <v>62.7</v>
      </c>
      <c r="O3" s="12">
        <v>132.43</v>
      </c>
      <c r="P3" s="12">
        <v>16.190000000000001</v>
      </c>
      <c r="Q3" s="12">
        <v>61.59</v>
      </c>
      <c r="R3" s="12">
        <v>8.33</v>
      </c>
      <c r="S3" s="12">
        <v>45.23</v>
      </c>
      <c r="T3" s="12">
        <v>22.9</v>
      </c>
      <c r="U3" s="12">
        <v>26948.47</v>
      </c>
      <c r="V3" s="12">
        <v>144.69</v>
      </c>
      <c r="W3" s="12" t="s">
        <v>68</v>
      </c>
      <c r="X3" s="12">
        <v>78.8</v>
      </c>
      <c r="Y3" s="12" t="s">
        <v>68</v>
      </c>
      <c r="Z3" s="12">
        <v>18.14</v>
      </c>
      <c r="AA3" s="12">
        <v>25.14</v>
      </c>
      <c r="AB3" s="12">
        <v>7.49</v>
      </c>
      <c r="AC3" s="12">
        <v>231.1</v>
      </c>
      <c r="AD3" s="12">
        <v>8.02</v>
      </c>
      <c r="AE3" s="12">
        <v>18.22</v>
      </c>
      <c r="AF3" s="12">
        <v>3.41</v>
      </c>
      <c r="AG3" s="12" t="s">
        <v>68</v>
      </c>
      <c r="AH3" s="12">
        <v>2.06</v>
      </c>
      <c r="AI3" s="12">
        <v>158.66999999999999</v>
      </c>
      <c r="AJ3" s="12">
        <v>2.86</v>
      </c>
      <c r="AK3" s="12">
        <v>145.75</v>
      </c>
      <c r="AL3" s="12">
        <v>2.44</v>
      </c>
      <c r="AM3" s="12">
        <v>258.98</v>
      </c>
      <c r="AN3" s="12">
        <v>3.21</v>
      </c>
      <c r="AO3" s="12">
        <v>8.5399999999999991</v>
      </c>
      <c r="AP3" s="12">
        <v>1.65</v>
      </c>
      <c r="AQ3" s="12" t="s">
        <v>68</v>
      </c>
      <c r="AR3" s="12">
        <v>4.32</v>
      </c>
      <c r="AS3" s="12" t="s">
        <v>68</v>
      </c>
      <c r="AT3" s="12">
        <v>3.94</v>
      </c>
      <c r="AU3" s="12" t="s">
        <v>68</v>
      </c>
      <c r="AV3" s="12">
        <v>5.79</v>
      </c>
      <c r="AW3" s="12" t="s">
        <v>68</v>
      </c>
      <c r="AX3" s="12">
        <v>4.21</v>
      </c>
      <c r="AY3" s="12" t="s">
        <v>68</v>
      </c>
      <c r="AZ3" s="12">
        <v>6.4</v>
      </c>
      <c r="BA3" s="12" t="s">
        <v>68</v>
      </c>
      <c r="BB3" s="12">
        <v>12.78</v>
      </c>
      <c r="BC3" s="12" t="s">
        <v>68</v>
      </c>
      <c r="BD3" s="12">
        <v>4.26</v>
      </c>
      <c r="BE3" s="12" t="s">
        <v>68</v>
      </c>
      <c r="BF3" s="12">
        <v>20.07</v>
      </c>
      <c r="BG3" s="12" t="s">
        <v>68</v>
      </c>
      <c r="BH3" s="12">
        <v>21.82</v>
      </c>
      <c r="BI3" s="12" t="s">
        <v>68</v>
      </c>
      <c r="BJ3" s="12">
        <v>3.13</v>
      </c>
      <c r="BK3" s="12" t="s">
        <v>68</v>
      </c>
      <c r="BL3" s="12">
        <v>4.87</v>
      </c>
      <c r="BM3" s="12">
        <v>69.86</v>
      </c>
      <c r="BN3" s="12">
        <v>3.99</v>
      </c>
      <c r="BO3" s="12">
        <v>14.21</v>
      </c>
      <c r="BP3" s="12">
        <v>2.09</v>
      </c>
      <c r="BQ3" s="12" t="s">
        <v>68</v>
      </c>
      <c r="BR3" s="12">
        <v>4.5999999999999996</v>
      </c>
    </row>
    <row r="4" spans="1:70">
      <c r="A4" s="11">
        <v>2</v>
      </c>
      <c r="B4" s="11">
        <f t="shared" si="0"/>
        <v>1983.6698396793588</v>
      </c>
      <c r="C4" s="12">
        <v>18963.37</v>
      </c>
      <c r="D4" s="12">
        <v>183.99</v>
      </c>
      <c r="E4" s="12">
        <v>464.35</v>
      </c>
      <c r="F4" s="12">
        <v>285</v>
      </c>
      <c r="G4" s="12">
        <v>3717.25</v>
      </c>
      <c r="H4" s="12">
        <v>217.59</v>
      </c>
      <c r="I4" s="12">
        <v>4812.6899999999996</v>
      </c>
      <c r="J4" s="12">
        <v>116.08</v>
      </c>
      <c r="K4" s="12">
        <v>58.64</v>
      </c>
      <c r="L4" s="12">
        <v>15.52</v>
      </c>
      <c r="M4" s="12">
        <v>4405.43</v>
      </c>
      <c r="N4" s="12">
        <v>57.07</v>
      </c>
      <c r="O4" s="12">
        <v>111.35</v>
      </c>
      <c r="P4" s="12">
        <v>14.76</v>
      </c>
      <c r="Q4" s="12">
        <v>57.26</v>
      </c>
      <c r="R4" s="12">
        <v>7.85</v>
      </c>
      <c r="S4" s="12">
        <v>56.55</v>
      </c>
      <c r="T4" s="12">
        <v>23.01</v>
      </c>
      <c r="U4" s="12">
        <v>23639.34</v>
      </c>
      <c r="V4" s="12">
        <v>135.58000000000001</v>
      </c>
      <c r="W4" s="12" t="s">
        <v>68</v>
      </c>
      <c r="X4" s="12">
        <v>73.77</v>
      </c>
      <c r="Y4" s="12">
        <v>34.270000000000003</v>
      </c>
      <c r="Z4" s="12">
        <v>12.28</v>
      </c>
      <c r="AA4" s="12">
        <v>26.17</v>
      </c>
      <c r="AB4" s="12">
        <v>7.49</v>
      </c>
      <c r="AC4" s="12">
        <v>300.69</v>
      </c>
      <c r="AD4" s="12">
        <v>8.94</v>
      </c>
      <c r="AE4" s="12">
        <v>18.73</v>
      </c>
      <c r="AF4" s="12">
        <v>3.3</v>
      </c>
      <c r="AG4" s="12" t="s">
        <v>68</v>
      </c>
      <c r="AH4" s="12">
        <v>2.13</v>
      </c>
      <c r="AI4" s="12">
        <v>150.44999999999999</v>
      </c>
      <c r="AJ4" s="12">
        <v>2.79</v>
      </c>
      <c r="AK4" s="12">
        <v>137.13</v>
      </c>
      <c r="AL4" s="12">
        <v>2.37</v>
      </c>
      <c r="AM4" s="12">
        <v>240.45</v>
      </c>
      <c r="AN4" s="12">
        <v>3.1</v>
      </c>
      <c r="AO4" s="12">
        <v>5.05</v>
      </c>
      <c r="AP4" s="12">
        <v>1.6</v>
      </c>
      <c r="AQ4" s="12" t="s">
        <v>68</v>
      </c>
      <c r="AR4" s="12">
        <v>4.28</v>
      </c>
      <c r="AS4" s="12" t="s">
        <v>68</v>
      </c>
      <c r="AT4" s="12">
        <v>4.1100000000000003</v>
      </c>
      <c r="AU4" s="12" t="s">
        <v>68</v>
      </c>
      <c r="AV4" s="12">
        <v>5.85</v>
      </c>
      <c r="AW4" s="12" t="s">
        <v>68</v>
      </c>
      <c r="AX4" s="12">
        <v>4.32</v>
      </c>
      <c r="AY4" s="12" t="s">
        <v>68</v>
      </c>
      <c r="AZ4" s="12">
        <v>6.57</v>
      </c>
      <c r="BA4" s="12" t="s">
        <v>68</v>
      </c>
      <c r="BB4" s="12">
        <v>13.19</v>
      </c>
      <c r="BC4" s="12" t="s">
        <v>68</v>
      </c>
      <c r="BD4" s="12">
        <v>4.37</v>
      </c>
      <c r="BE4" s="12">
        <v>62.8</v>
      </c>
      <c r="BF4" s="12">
        <v>13.74</v>
      </c>
      <c r="BG4" s="12" t="s">
        <v>68</v>
      </c>
      <c r="BH4" s="12">
        <v>21.76</v>
      </c>
      <c r="BI4" s="12" t="s">
        <v>68</v>
      </c>
      <c r="BJ4" s="12">
        <v>3.17</v>
      </c>
      <c r="BK4" s="12" t="s">
        <v>68</v>
      </c>
      <c r="BL4" s="12">
        <v>4.8099999999999996</v>
      </c>
      <c r="BM4" s="12">
        <v>62.58</v>
      </c>
      <c r="BN4" s="12">
        <v>3.83</v>
      </c>
      <c r="BO4" s="12">
        <v>16.5</v>
      </c>
      <c r="BP4" s="12">
        <v>2.12</v>
      </c>
      <c r="BQ4" s="12" t="s">
        <v>68</v>
      </c>
      <c r="BR4" s="12">
        <v>4.49</v>
      </c>
    </row>
    <row r="5" spans="1:70">
      <c r="A5" s="11">
        <v>3</v>
      </c>
      <c r="B5" s="11">
        <f t="shared" si="0"/>
        <v>1963.6297595190381</v>
      </c>
      <c r="C5" s="12">
        <v>21255.89</v>
      </c>
      <c r="D5" s="12">
        <v>202.68</v>
      </c>
      <c r="E5" s="12" t="s">
        <v>68</v>
      </c>
      <c r="F5" s="12">
        <v>441.72</v>
      </c>
      <c r="G5" s="12">
        <v>2302.0100000000002</v>
      </c>
      <c r="H5" s="12">
        <v>192.13</v>
      </c>
      <c r="I5" s="12">
        <v>3663.79</v>
      </c>
      <c r="J5" s="12">
        <v>120.11</v>
      </c>
      <c r="K5" s="12">
        <v>31.01</v>
      </c>
      <c r="L5" s="12">
        <v>14.79</v>
      </c>
      <c r="M5" s="12">
        <v>5220.25</v>
      </c>
      <c r="N5" s="12">
        <v>63.37</v>
      </c>
      <c r="O5" s="12">
        <v>137.97999999999999</v>
      </c>
      <c r="P5" s="12">
        <v>16.28</v>
      </c>
      <c r="Q5" s="12">
        <v>62.06</v>
      </c>
      <c r="R5" s="12">
        <v>8.33</v>
      </c>
      <c r="S5" s="12">
        <v>59.05</v>
      </c>
      <c r="T5" s="12">
        <v>23.8</v>
      </c>
      <c r="U5" s="12">
        <v>27493.25</v>
      </c>
      <c r="V5" s="12">
        <v>147.36000000000001</v>
      </c>
      <c r="W5" s="12" t="s">
        <v>68</v>
      </c>
      <c r="X5" s="12">
        <v>80.349999999999994</v>
      </c>
      <c r="Y5" s="12">
        <v>31.03</v>
      </c>
      <c r="Z5" s="12">
        <v>12.45</v>
      </c>
      <c r="AA5" s="12">
        <v>25.03</v>
      </c>
      <c r="AB5" s="12">
        <v>7.54</v>
      </c>
      <c r="AC5" s="12">
        <v>224.86</v>
      </c>
      <c r="AD5" s="12">
        <v>8</v>
      </c>
      <c r="AE5" s="12">
        <v>26.17</v>
      </c>
      <c r="AF5" s="12">
        <v>3.46</v>
      </c>
      <c r="AG5" s="12" t="s">
        <v>68</v>
      </c>
      <c r="AH5" s="12">
        <v>2.1800000000000002</v>
      </c>
      <c r="AI5" s="12">
        <v>154</v>
      </c>
      <c r="AJ5" s="12">
        <v>2.85</v>
      </c>
      <c r="AK5" s="12">
        <v>141.37</v>
      </c>
      <c r="AL5" s="12">
        <v>2.42</v>
      </c>
      <c r="AM5" s="12">
        <v>251.76</v>
      </c>
      <c r="AN5" s="12">
        <v>3.19</v>
      </c>
      <c r="AO5" s="12">
        <v>5.89</v>
      </c>
      <c r="AP5" s="12">
        <v>1.64</v>
      </c>
      <c r="AQ5" s="12" t="s">
        <v>68</v>
      </c>
      <c r="AR5" s="12">
        <v>4.5599999999999996</v>
      </c>
      <c r="AS5" s="12" t="s">
        <v>68</v>
      </c>
      <c r="AT5" s="12">
        <v>4.2699999999999996</v>
      </c>
      <c r="AU5" s="12" t="s">
        <v>68</v>
      </c>
      <c r="AV5" s="12">
        <v>6.1</v>
      </c>
      <c r="AW5" s="12" t="s">
        <v>68</v>
      </c>
      <c r="AX5" s="12">
        <v>4.54</v>
      </c>
      <c r="AY5" s="12" t="s">
        <v>68</v>
      </c>
      <c r="AZ5" s="12">
        <v>6.86</v>
      </c>
      <c r="BA5" s="12" t="s">
        <v>68</v>
      </c>
      <c r="BB5" s="12">
        <v>13.91</v>
      </c>
      <c r="BC5" s="12" t="s">
        <v>68</v>
      </c>
      <c r="BD5" s="12">
        <v>4.5599999999999996</v>
      </c>
      <c r="BE5" s="12">
        <v>133.16</v>
      </c>
      <c r="BF5" s="12">
        <v>14.42</v>
      </c>
      <c r="BG5" s="12" t="s">
        <v>68</v>
      </c>
      <c r="BH5" s="12">
        <v>22.41</v>
      </c>
      <c r="BI5" s="12" t="s">
        <v>68</v>
      </c>
      <c r="BJ5" s="12">
        <v>3.28</v>
      </c>
      <c r="BK5" s="12" t="s">
        <v>68</v>
      </c>
      <c r="BL5" s="12">
        <v>5</v>
      </c>
      <c r="BM5" s="12">
        <v>63.19</v>
      </c>
      <c r="BN5" s="12">
        <v>3.88</v>
      </c>
      <c r="BO5" s="12">
        <v>16.149999999999999</v>
      </c>
      <c r="BP5" s="12">
        <v>2.14</v>
      </c>
      <c r="BQ5" s="12" t="s">
        <v>68</v>
      </c>
      <c r="BR5" s="12">
        <v>4.6500000000000004</v>
      </c>
    </row>
    <row r="6" spans="1:70">
      <c r="A6" s="11">
        <v>4</v>
      </c>
      <c r="B6" s="11">
        <f t="shared" si="0"/>
        <v>1943.5896793587174</v>
      </c>
      <c r="C6" s="12">
        <v>21513.81</v>
      </c>
      <c r="D6" s="12">
        <v>207.88</v>
      </c>
      <c r="E6" s="12">
        <v>727.37</v>
      </c>
      <c r="F6" s="12">
        <v>325.3</v>
      </c>
      <c r="G6" s="12">
        <v>1962.55</v>
      </c>
      <c r="H6" s="12">
        <v>186.11</v>
      </c>
      <c r="I6" s="12">
        <v>3543.81</v>
      </c>
      <c r="J6" s="12">
        <v>122.52</v>
      </c>
      <c r="K6" s="12" t="s">
        <v>68</v>
      </c>
      <c r="L6" s="12">
        <v>22.01</v>
      </c>
      <c r="M6" s="12">
        <v>5174.37</v>
      </c>
      <c r="N6" s="12">
        <v>64.55</v>
      </c>
      <c r="O6" s="12">
        <v>135.31</v>
      </c>
      <c r="P6" s="12">
        <v>16.59</v>
      </c>
      <c r="Q6" s="12">
        <v>65.099999999999994</v>
      </c>
      <c r="R6" s="12">
        <v>8.5299999999999994</v>
      </c>
      <c r="S6" s="12" t="s">
        <v>68</v>
      </c>
      <c r="T6" s="12">
        <v>34.869999999999997</v>
      </c>
      <c r="U6" s="12">
        <v>28375.26</v>
      </c>
      <c r="V6" s="12">
        <v>150.01</v>
      </c>
      <c r="W6" s="12" t="s">
        <v>68</v>
      </c>
      <c r="X6" s="12">
        <v>81.760000000000005</v>
      </c>
      <c r="Y6" s="12">
        <v>20.97</v>
      </c>
      <c r="Z6" s="12">
        <v>12.39</v>
      </c>
      <c r="AA6" s="12">
        <v>18.940000000000001</v>
      </c>
      <c r="AB6" s="12">
        <v>7.44</v>
      </c>
      <c r="AC6" s="12">
        <v>213.34</v>
      </c>
      <c r="AD6" s="12">
        <v>7.85</v>
      </c>
      <c r="AE6" s="12">
        <v>23.62</v>
      </c>
      <c r="AF6" s="12">
        <v>3.47</v>
      </c>
      <c r="AG6" s="12" t="s">
        <v>68</v>
      </c>
      <c r="AH6" s="12">
        <v>2.2000000000000002</v>
      </c>
      <c r="AI6" s="12">
        <v>158.53</v>
      </c>
      <c r="AJ6" s="12">
        <v>2.9</v>
      </c>
      <c r="AK6" s="12">
        <v>143.05000000000001</v>
      </c>
      <c r="AL6" s="12">
        <v>2.44</v>
      </c>
      <c r="AM6" s="12">
        <v>262.29000000000002</v>
      </c>
      <c r="AN6" s="12">
        <v>3.26</v>
      </c>
      <c r="AO6" s="12">
        <v>5.19</v>
      </c>
      <c r="AP6" s="12">
        <v>1.65</v>
      </c>
      <c r="AQ6" s="12" t="s">
        <v>68</v>
      </c>
      <c r="AR6" s="12">
        <v>4.47</v>
      </c>
      <c r="AS6" s="12" t="s">
        <v>68</v>
      </c>
      <c r="AT6" s="12">
        <v>4.12</v>
      </c>
      <c r="AU6" s="12" t="s">
        <v>68</v>
      </c>
      <c r="AV6" s="12">
        <v>5.89</v>
      </c>
      <c r="AW6" s="12" t="s">
        <v>68</v>
      </c>
      <c r="AX6" s="12">
        <v>4.42</v>
      </c>
      <c r="AY6" s="12" t="s">
        <v>68</v>
      </c>
      <c r="AZ6" s="12">
        <v>6.66</v>
      </c>
      <c r="BA6" s="12" t="s">
        <v>68</v>
      </c>
      <c r="BB6" s="12">
        <v>13.43</v>
      </c>
      <c r="BC6" s="12" t="s">
        <v>68</v>
      </c>
      <c r="BD6" s="12">
        <v>4.4400000000000004</v>
      </c>
      <c r="BE6" s="12">
        <v>65.86</v>
      </c>
      <c r="BF6" s="12">
        <v>13.97</v>
      </c>
      <c r="BG6" s="12" t="s">
        <v>68</v>
      </c>
      <c r="BH6" s="12">
        <v>22.25</v>
      </c>
      <c r="BI6" s="12">
        <v>4</v>
      </c>
      <c r="BJ6" s="12">
        <v>2.25</v>
      </c>
      <c r="BK6" s="12" t="s">
        <v>68</v>
      </c>
      <c r="BL6" s="12">
        <v>4.99</v>
      </c>
      <c r="BM6" s="12">
        <v>65.86</v>
      </c>
      <c r="BN6" s="12">
        <v>3.95</v>
      </c>
      <c r="BO6" s="12">
        <v>16.91</v>
      </c>
      <c r="BP6" s="12">
        <v>2.1800000000000002</v>
      </c>
      <c r="BQ6" s="12" t="s">
        <v>68</v>
      </c>
      <c r="BR6" s="12">
        <v>4.74</v>
      </c>
    </row>
    <row r="7" spans="1:70">
      <c r="A7" s="11">
        <v>5</v>
      </c>
      <c r="B7" s="11">
        <f t="shared" si="0"/>
        <v>1923.5495991983969</v>
      </c>
      <c r="C7" s="12">
        <v>21391.09</v>
      </c>
      <c r="D7" s="12">
        <v>207.38</v>
      </c>
      <c r="E7" s="12" t="s">
        <v>68</v>
      </c>
      <c r="F7" s="12">
        <v>452.9</v>
      </c>
      <c r="G7" s="12">
        <v>1793.45</v>
      </c>
      <c r="H7" s="12">
        <v>181.09</v>
      </c>
      <c r="I7" s="12">
        <v>3869.25</v>
      </c>
      <c r="J7" s="12">
        <v>125.23</v>
      </c>
      <c r="K7" s="12">
        <v>31.43</v>
      </c>
      <c r="L7" s="12">
        <v>15.55</v>
      </c>
      <c r="M7" s="12">
        <v>5118.75</v>
      </c>
      <c r="N7" s="12">
        <v>64.75</v>
      </c>
      <c r="O7" s="12">
        <v>138.27000000000001</v>
      </c>
      <c r="P7" s="12">
        <v>16.73</v>
      </c>
      <c r="Q7" s="12">
        <v>59.98</v>
      </c>
      <c r="R7" s="12">
        <v>8.52</v>
      </c>
      <c r="S7" s="12">
        <v>58.07</v>
      </c>
      <c r="T7" s="12">
        <v>23.58</v>
      </c>
      <c r="U7" s="12">
        <v>27501.11</v>
      </c>
      <c r="V7" s="12">
        <v>146.80000000000001</v>
      </c>
      <c r="W7" s="12" t="s">
        <v>68</v>
      </c>
      <c r="X7" s="12">
        <v>79.790000000000006</v>
      </c>
      <c r="Y7" s="12">
        <v>23.59</v>
      </c>
      <c r="Z7" s="12">
        <v>12.28</v>
      </c>
      <c r="AA7" s="12">
        <v>23.97</v>
      </c>
      <c r="AB7" s="12">
        <v>7.48</v>
      </c>
      <c r="AC7" s="12">
        <v>192.52</v>
      </c>
      <c r="AD7" s="12">
        <v>7.48</v>
      </c>
      <c r="AE7" s="12">
        <v>22.93</v>
      </c>
      <c r="AF7" s="12">
        <v>3.53</v>
      </c>
      <c r="AG7" s="12" t="s">
        <v>68</v>
      </c>
      <c r="AH7" s="12">
        <v>2.12</v>
      </c>
      <c r="AI7" s="12">
        <v>157.47</v>
      </c>
      <c r="AJ7" s="12">
        <v>2.87</v>
      </c>
      <c r="AK7" s="12">
        <v>142.5</v>
      </c>
      <c r="AL7" s="12">
        <v>2.42</v>
      </c>
      <c r="AM7" s="12">
        <v>266.72000000000003</v>
      </c>
      <c r="AN7" s="12">
        <v>3.26</v>
      </c>
      <c r="AO7" s="12">
        <v>6.27</v>
      </c>
      <c r="AP7" s="12">
        <v>1.64</v>
      </c>
      <c r="AQ7" s="12" t="s">
        <v>68</v>
      </c>
      <c r="AR7" s="12">
        <v>4.6100000000000003</v>
      </c>
      <c r="AS7" s="12" t="s">
        <v>68</v>
      </c>
      <c r="AT7" s="12">
        <v>4.21</v>
      </c>
      <c r="AU7" s="12" t="s">
        <v>68</v>
      </c>
      <c r="AV7" s="12">
        <v>6.1</v>
      </c>
      <c r="AW7" s="12" t="s">
        <v>68</v>
      </c>
      <c r="AX7" s="12">
        <v>4.54</v>
      </c>
      <c r="AY7" s="12" t="s">
        <v>68</v>
      </c>
      <c r="AZ7" s="12">
        <v>6.74</v>
      </c>
      <c r="BA7" s="12" t="s">
        <v>68</v>
      </c>
      <c r="BB7" s="12">
        <v>13.83</v>
      </c>
      <c r="BC7" s="12" t="s">
        <v>68</v>
      </c>
      <c r="BD7" s="12">
        <v>4.54</v>
      </c>
      <c r="BE7" s="12">
        <v>140.9</v>
      </c>
      <c r="BF7" s="12">
        <v>14.48</v>
      </c>
      <c r="BG7" s="12" t="s">
        <v>68</v>
      </c>
      <c r="BH7" s="12">
        <v>21.96</v>
      </c>
      <c r="BI7" s="12">
        <v>3.3</v>
      </c>
      <c r="BJ7" s="12">
        <v>2.19</v>
      </c>
      <c r="BK7" s="12" t="s">
        <v>68</v>
      </c>
      <c r="BL7" s="12">
        <v>4.92</v>
      </c>
      <c r="BM7" s="12">
        <v>71.98</v>
      </c>
      <c r="BN7" s="12">
        <v>4.0599999999999996</v>
      </c>
      <c r="BO7" s="12">
        <v>16.52</v>
      </c>
      <c r="BP7" s="12">
        <v>2.16</v>
      </c>
      <c r="BQ7" s="12" t="s">
        <v>68</v>
      </c>
      <c r="BR7" s="12">
        <v>4.63</v>
      </c>
    </row>
    <row r="8" spans="1:70">
      <c r="A8" s="11">
        <v>6</v>
      </c>
      <c r="B8" s="11">
        <f t="shared" si="0"/>
        <v>1903.5095190380762</v>
      </c>
      <c r="C8" s="12">
        <v>21096.95</v>
      </c>
      <c r="D8" s="12">
        <v>195.69</v>
      </c>
      <c r="E8" s="12">
        <v>571.73</v>
      </c>
      <c r="F8" s="12">
        <v>295.73</v>
      </c>
      <c r="G8" s="12">
        <v>2378.4899999999998</v>
      </c>
      <c r="H8" s="12">
        <v>186.91</v>
      </c>
      <c r="I8" s="12">
        <v>3595.98</v>
      </c>
      <c r="J8" s="12">
        <v>117.07</v>
      </c>
      <c r="K8" s="12">
        <v>32.200000000000003</v>
      </c>
      <c r="L8" s="12">
        <v>14.2</v>
      </c>
      <c r="M8" s="12">
        <v>5136.63</v>
      </c>
      <c r="N8" s="12">
        <v>61.23</v>
      </c>
      <c r="O8" s="12">
        <v>136.99</v>
      </c>
      <c r="P8" s="12">
        <v>15.78</v>
      </c>
      <c r="Q8" s="12">
        <v>50.46</v>
      </c>
      <c r="R8" s="12">
        <v>7.99</v>
      </c>
      <c r="S8" s="12">
        <v>51.23</v>
      </c>
      <c r="T8" s="12">
        <v>22.94</v>
      </c>
      <c r="U8" s="12">
        <v>24100.27</v>
      </c>
      <c r="V8" s="12">
        <v>136.16</v>
      </c>
      <c r="W8" s="12" t="s">
        <v>68</v>
      </c>
      <c r="X8" s="12">
        <v>74.010000000000005</v>
      </c>
      <c r="Y8" s="12">
        <v>29.88</v>
      </c>
      <c r="Z8" s="12">
        <v>12.12</v>
      </c>
      <c r="AA8" s="12">
        <v>19.899999999999999</v>
      </c>
      <c r="AB8" s="12">
        <v>7.27</v>
      </c>
      <c r="AC8" s="12">
        <v>219.26</v>
      </c>
      <c r="AD8" s="12">
        <v>7.8</v>
      </c>
      <c r="AE8" s="12">
        <v>16.05</v>
      </c>
      <c r="AF8" s="12">
        <v>3.33</v>
      </c>
      <c r="AG8" s="12" t="s">
        <v>68</v>
      </c>
      <c r="AH8" s="12">
        <v>2.12</v>
      </c>
      <c r="AI8" s="12">
        <v>167.84</v>
      </c>
      <c r="AJ8" s="12">
        <v>2.92</v>
      </c>
      <c r="AK8" s="12">
        <v>142.41999999999999</v>
      </c>
      <c r="AL8" s="12">
        <v>2.4</v>
      </c>
      <c r="AM8" s="12">
        <v>276.29000000000002</v>
      </c>
      <c r="AN8" s="12">
        <v>3.28</v>
      </c>
      <c r="AO8" s="12">
        <v>5.95</v>
      </c>
      <c r="AP8" s="12">
        <v>1.63</v>
      </c>
      <c r="AQ8" s="12" t="s">
        <v>68</v>
      </c>
      <c r="AR8" s="12">
        <v>4.3899999999999997</v>
      </c>
      <c r="AS8" s="12" t="s">
        <v>68</v>
      </c>
      <c r="AT8" s="12">
        <v>3.95</v>
      </c>
      <c r="AU8" s="12" t="s">
        <v>68</v>
      </c>
      <c r="AV8" s="12">
        <v>5.76</v>
      </c>
      <c r="AW8" s="12" t="s">
        <v>68</v>
      </c>
      <c r="AX8" s="12">
        <v>4.25</v>
      </c>
      <c r="AY8" s="12" t="s">
        <v>68</v>
      </c>
      <c r="AZ8" s="12">
        <v>6.46</v>
      </c>
      <c r="BA8" s="12" t="s">
        <v>68</v>
      </c>
      <c r="BB8" s="12">
        <v>13</v>
      </c>
      <c r="BC8" s="12" t="s">
        <v>68</v>
      </c>
      <c r="BD8" s="12">
        <v>4.3</v>
      </c>
      <c r="BE8" s="12">
        <v>67.239999999999995</v>
      </c>
      <c r="BF8" s="12">
        <v>13.62</v>
      </c>
      <c r="BG8" s="12" t="s">
        <v>68</v>
      </c>
      <c r="BH8" s="12">
        <v>21.8</v>
      </c>
      <c r="BI8" s="12">
        <v>5.54</v>
      </c>
      <c r="BJ8" s="12">
        <v>2.2400000000000002</v>
      </c>
      <c r="BK8" s="12" t="s">
        <v>68</v>
      </c>
      <c r="BL8" s="12">
        <v>4.8099999999999996</v>
      </c>
      <c r="BM8" s="12">
        <v>67.97</v>
      </c>
      <c r="BN8" s="12">
        <v>3.93</v>
      </c>
      <c r="BO8" s="12">
        <v>18.29</v>
      </c>
      <c r="BP8" s="12">
        <v>2.1800000000000002</v>
      </c>
      <c r="BQ8" s="12" t="s">
        <v>68</v>
      </c>
      <c r="BR8" s="12">
        <v>4.68</v>
      </c>
    </row>
    <row r="9" spans="1:70">
      <c r="A9" s="11">
        <v>7</v>
      </c>
      <c r="B9" s="11">
        <f t="shared" si="0"/>
        <v>1883.4694388777555</v>
      </c>
      <c r="C9" s="12">
        <v>20747.61</v>
      </c>
      <c r="D9" s="12">
        <v>196.73</v>
      </c>
      <c r="E9" s="12" t="s">
        <v>68</v>
      </c>
      <c r="F9" s="12">
        <v>418.6</v>
      </c>
      <c r="G9" s="12">
        <v>1593.1</v>
      </c>
      <c r="H9" s="12">
        <v>166.41</v>
      </c>
      <c r="I9" s="12">
        <v>3580.09</v>
      </c>
      <c r="J9" s="12">
        <v>119.94</v>
      </c>
      <c r="K9" s="12">
        <v>32.76</v>
      </c>
      <c r="L9" s="12">
        <v>14.64</v>
      </c>
      <c r="M9" s="12">
        <v>5250.98</v>
      </c>
      <c r="N9" s="12">
        <v>62.5</v>
      </c>
      <c r="O9" s="12">
        <v>138.49</v>
      </c>
      <c r="P9" s="12">
        <v>16.05</v>
      </c>
      <c r="Q9" s="12">
        <v>57.62</v>
      </c>
      <c r="R9" s="12">
        <v>8.11</v>
      </c>
      <c r="S9" s="12">
        <v>59.86</v>
      </c>
      <c r="T9" s="12">
        <v>23.28</v>
      </c>
      <c r="U9" s="12">
        <v>24388.14</v>
      </c>
      <c r="V9" s="12">
        <v>137.22999999999999</v>
      </c>
      <c r="W9" s="12" t="s">
        <v>68</v>
      </c>
      <c r="X9" s="12">
        <v>74.98</v>
      </c>
      <c r="Y9" s="12">
        <v>29.1</v>
      </c>
      <c r="Z9" s="12">
        <v>12.22</v>
      </c>
      <c r="AA9" s="12">
        <v>20.61</v>
      </c>
      <c r="AB9" s="12">
        <v>7.34</v>
      </c>
      <c r="AC9" s="12">
        <v>187.86</v>
      </c>
      <c r="AD9" s="12">
        <v>7.35</v>
      </c>
      <c r="AE9" s="12">
        <v>16.79</v>
      </c>
      <c r="AF9" s="12">
        <v>3.36</v>
      </c>
      <c r="AG9" s="12" t="s">
        <v>68</v>
      </c>
      <c r="AH9" s="12">
        <v>2.1800000000000002</v>
      </c>
      <c r="AI9" s="12">
        <v>161.18</v>
      </c>
      <c r="AJ9" s="12">
        <v>2.87</v>
      </c>
      <c r="AK9" s="12">
        <v>140.30000000000001</v>
      </c>
      <c r="AL9" s="12">
        <v>2.38</v>
      </c>
      <c r="AM9" s="12">
        <v>269.42</v>
      </c>
      <c r="AN9" s="12">
        <v>3.25</v>
      </c>
      <c r="AO9" s="12">
        <v>6.71</v>
      </c>
      <c r="AP9" s="12">
        <v>1.63</v>
      </c>
      <c r="AQ9" s="12" t="s">
        <v>68</v>
      </c>
      <c r="AR9" s="12">
        <v>4.45</v>
      </c>
      <c r="AS9" s="12" t="s">
        <v>68</v>
      </c>
      <c r="AT9" s="12">
        <v>4.24</v>
      </c>
      <c r="AU9" s="12" t="s">
        <v>68</v>
      </c>
      <c r="AV9" s="12">
        <v>6.09</v>
      </c>
      <c r="AW9" s="12" t="s">
        <v>68</v>
      </c>
      <c r="AX9" s="12">
        <v>4.5</v>
      </c>
      <c r="AY9" s="12" t="s">
        <v>68</v>
      </c>
      <c r="AZ9" s="12">
        <v>6.79</v>
      </c>
      <c r="BA9" s="12" t="s">
        <v>68</v>
      </c>
      <c r="BB9" s="12">
        <v>13.82</v>
      </c>
      <c r="BC9" s="12" t="s">
        <v>68</v>
      </c>
      <c r="BD9" s="12">
        <v>4.5199999999999996</v>
      </c>
      <c r="BE9" s="12">
        <v>142.16999999999999</v>
      </c>
      <c r="BF9" s="12">
        <v>14.43</v>
      </c>
      <c r="BG9" s="12" t="s">
        <v>68</v>
      </c>
      <c r="BH9" s="12">
        <v>21.93</v>
      </c>
      <c r="BI9" s="12">
        <v>3.45</v>
      </c>
      <c r="BJ9" s="12">
        <v>2.2000000000000002</v>
      </c>
      <c r="BK9" s="12" t="s">
        <v>68</v>
      </c>
      <c r="BL9" s="12">
        <v>4.97</v>
      </c>
      <c r="BM9" s="12">
        <v>68.47</v>
      </c>
      <c r="BN9" s="12">
        <v>3.96</v>
      </c>
      <c r="BO9" s="12">
        <v>17.82</v>
      </c>
      <c r="BP9" s="12">
        <v>2.16</v>
      </c>
      <c r="BQ9" s="12" t="s">
        <v>68</v>
      </c>
      <c r="BR9" s="12">
        <v>4.58</v>
      </c>
    </row>
    <row r="10" spans="1:70">
      <c r="A10" s="11">
        <v>8</v>
      </c>
      <c r="B10" s="11">
        <f t="shared" si="0"/>
        <v>1863.4293587174348</v>
      </c>
      <c r="C10" s="12">
        <v>20908.12</v>
      </c>
      <c r="D10" s="12">
        <v>194.47</v>
      </c>
      <c r="E10" s="12" t="s">
        <v>68</v>
      </c>
      <c r="F10" s="12">
        <v>424.62</v>
      </c>
      <c r="G10" s="12">
        <v>1922.99</v>
      </c>
      <c r="H10" s="12">
        <v>173.42</v>
      </c>
      <c r="I10" s="12">
        <v>3254.94</v>
      </c>
      <c r="J10" s="12">
        <v>117.27</v>
      </c>
      <c r="K10" s="12">
        <v>26.31</v>
      </c>
      <c r="L10" s="12">
        <v>13.92</v>
      </c>
      <c r="M10" s="12">
        <v>5205.5600000000004</v>
      </c>
      <c r="N10" s="12">
        <v>61.55</v>
      </c>
      <c r="O10" s="12">
        <v>123.59</v>
      </c>
      <c r="P10" s="12">
        <v>15.73</v>
      </c>
      <c r="Q10" s="12">
        <v>64.180000000000007</v>
      </c>
      <c r="R10" s="12">
        <v>8.0399999999999991</v>
      </c>
      <c r="S10" s="12" t="s">
        <v>68</v>
      </c>
      <c r="T10" s="12">
        <v>33.729999999999997</v>
      </c>
      <c r="U10" s="12">
        <v>22398.03</v>
      </c>
      <c r="V10" s="12">
        <v>131.51</v>
      </c>
      <c r="W10" s="12" t="s">
        <v>68</v>
      </c>
      <c r="X10" s="12">
        <v>72.06</v>
      </c>
      <c r="Y10" s="12" t="s">
        <v>68</v>
      </c>
      <c r="Z10" s="12">
        <v>17.989999999999998</v>
      </c>
      <c r="AA10" s="12">
        <v>26.18</v>
      </c>
      <c r="AB10" s="12">
        <v>7.42</v>
      </c>
      <c r="AC10" s="12">
        <v>226.13</v>
      </c>
      <c r="AD10" s="12">
        <v>7.93</v>
      </c>
      <c r="AE10" s="12">
        <v>18.84</v>
      </c>
      <c r="AF10" s="12">
        <v>3.36</v>
      </c>
      <c r="AG10" s="12" t="s">
        <v>68</v>
      </c>
      <c r="AH10" s="12">
        <v>2.12</v>
      </c>
      <c r="AI10" s="12">
        <v>155.27000000000001</v>
      </c>
      <c r="AJ10" s="12">
        <v>2.82</v>
      </c>
      <c r="AK10" s="12">
        <v>136.06</v>
      </c>
      <c r="AL10" s="12">
        <v>2.35</v>
      </c>
      <c r="AM10" s="12">
        <v>282.56</v>
      </c>
      <c r="AN10" s="12">
        <v>3.3</v>
      </c>
      <c r="AO10" s="12">
        <v>5.59</v>
      </c>
      <c r="AP10" s="12">
        <v>1.63</v>
      </c>
      <c r="AQ10" s="12" t="s">
        <v>68</v>
      </c>
      <c r="AR10" s="12">
        <v>4.41</v>
      </c>
      <c r="AS10" s="12" t="s">
        <v>68</v>
      </c>
      <c r="AT10" s="12">
        <v>4.1100000000000003</v>
      </c>
      <c r="AU10" s="12" t="s">
        <v>68</v>
      </c>
      <c r="AV10" s="12">
        <v>5.91</v>
      </c>
      <c r="AW10" s="12" t="s">
        <v>68</v>
      </c>
      <c r="AX10" s="12">
        <v>4.38</v>
      </c>
      <c r="AY10" s="12" t="s">
        <v>68</v>
      </c>
      <c r="AZ10" s="12">
        <v>6.64</v>
      </c>
      <c r="BA10" s="12" t="s">
        <v>68</v>
      </c>
      <c r="BB10" s="12">
        <v>13.43</v>
      </c>
      <c r="BC10" s="12" t="s">
        <v>68</v>
      </c>
      <c r="BD10" s="12">
        <v>4.43</v>
      </c>
      <c r="BE10" s="12">
        <v>110.69</v>
      </c>
      <c r="BF10" s="12">
        <v>14</v>
      </c>
      <c r="BG10" s="12">
        <v>23.22</v>
      </c>
      <c r="BH10" s="12">
        <v>14.93</v>
      </c>
      <c r="BI10" s="12" t="s">
        <v>68</v>
      </c>
      <c r="BJ10" s="12">
        <v>3.25</v>
      </c>
      <c r="BK10" s="12" t="s">
        <v>68</v>
      </c>
      <c r="BL10" s="12">
        <v>4.8899999999999997</v>
      </c>
      <c r="BM10" s="12">
        <v>67.430000000000007</v>
      </c>
      <c r="BN10" s="12">
        <v>3.92</v>
      </c>
      <c r="BO10" s="12">
        <v>16.170000000000002</v>
      </c>
      <c r="BP10" s="12">
        <v>2.11</v>
      </c>
      <c r="BQ10" s="12" t="s">
        <v>68</v>
      </c>
      <c r="BR10" s="12">
        <v>4.51</v>
      </c>
    </row>
    <row r="11" spans="1:70">
      <c r="A11" s="11">
        <v>9</v>
      </c>
      <c r="B11" s="11">
        <f t="shared" si="0"/>
        <v>1843.3892785571143</v>
      </c>
      <c r="C11" s="12">
        <v>20859.580000000002</v>
      </c>
      <c r="D11" s="12">
        <v>196.99</v>
      </c>
      <c r="E11" s="12">
        <v>559.21</v>
      </c>
      <c r="F11" s="12">
        <v>298.73</v>
      </c>
      <c r="G11" s="12">
        <v>2416.5300000000002</v>
      </c>
      <c r="H11" s="12">
        <v>190.58</v>
      </c>
      <c r="I11" s="12">
        <v>3090.5</v>
      </c>
      <c r="J11" s="12">
        <v>118.4</v>
      </c>
      <c r="K11" s="12">
        <v>29.97</v>
      </c>
      <c r="L11" s="12">
        <v>13.94</v>
      </c>
      <c r="M11" s="12">
        <v>5281.98</v>
      </c>
      <c r="N11" s="12">
        <v>62.88</v>
      </c>
      <c r="O11" s="12">
        <v>148.22</v>
      </c>
      <c r="P11" s="12">
        <v>16.25</v>
      </c>
      <c r="Q11" s="12">
        <v>57.03</v>
      </c>
      <c r="R11" s="12">
        <v>8.18</v>
      </c>
      <c r="S11" s="12">
        <v>39.79</v>
      </c>
      <c r="T11" s="12">
        <v>22.46</v>
      </c>
      <c r="U11" s="12">
        <v>23387.97</v>
      </c>
      <c r="V11" s="12">
        <v>133.66999999999999</v>
      </c>
      <c r="W11" s="12" t="s">
        <v>68</v>
      </c>
      <c r="X11" s="12">
        <v>72.81</v>
      </c>
      <c r="Y11" s="12">
        <v>24.91</v>
      </c>
      <c r="Z11" s="12">
        <v>12.03</v>
      </c>
      <c r="AA11" s="12">
        <v>22.58</v>
      </c>
      <c r="AB11" s="12">
        <v>7.31</v>
      </c>
      <c r="AC11" s="12">
        <v>268.37</v>
      </c>
      <c r="AD11" s="12">
        <v>8.4499999999999993</v>
      </c>
      <c r="AE11" s="12">
        <v>19.72</v>
      </c>
      <c r="AF11" s="12">
        <v>3.41</v>
      </c>
      <c r="AG11" s="12" t="s">
        <v>68</v>
      </c>
      <c r="AH11" s="12">
        <v>2.12</v>
      </c>
      <c r="AI11" s="12">
        <v>154.86000000000001</v>
      </c>
      <c r="AJ11" s="12">
        <v>2.81</v>
      </c>
      <c r="AK11" s="12">
        <v>137.99</v>
      </c>
      <c r="AL11" s="12">
        <v>2.35</v>
      </c>
      <c r="AM11" s="12">
        <v>275.26</v>
      </c>
      <c r="AN11" s="12">
        <v>3.25</v>
      </c>
      <c r="AO11" s="12">
        <v>6.16</v>
      </c>
      <c r="AP11" s="12">
        <v>1.63</v>
      </c>
      <c r="AQ11" s="12" t="s">
        <v>68</v>
      </c>
      <c r="AR11" s="12">
        <v>4.3499999999999996</v>
      </c>
      <c r="AS11" s="12" t="s">
        <v>68</v>
      </c>
      <c r="AT11" s="12">
        <v>4.09</v>
      </c>
      <c r="AU11" s="12" t="s">
        <v>68</v>
      </c>
      <c r="AV11" s="12">
        <v>5.84</v>
      </c>
      <c r="AW11" s="12" t="s">
        <v>68</v>
      </c>
      <c r="AX11" s="12">
        <v>4.2699999999999996</v>
      </c>
      <c r="AY11" s="12" t="s">
        <v>68</v>
      </c>
      <c r="AZ11" s="12">
        <v>6.58</v>
      </c>
      <c r="BA11" s="12" t="s">
        <v>68</v>
      </c>
      <c r="BB11" s="12">
        <v>13.19</v>
      </c>
      <c r="BC11" s="12" t="s">
        <v>68</v>
      </c>
      <c r="BD11" s="12">
        <v>4.33</v>
      </c>
      <c r="BE11" s="12">
        <v>60.04</v>
      </c>
      <c r="BF11" s="12">
        <v>13.68</v>
      </c>
      <c r="BG11" s="12" t="s">
        <v>68</v>
      </c>
      <c r="BH11" s="12">
        <v>21.88</v>
      </c>
      <c r="BI11" s="12">
        <v>3.44</v>
      </c>
      <c r="BJ11" s="12">
        <v>2.17</v>
      </c>
      <c r="BK11" s="12" t="s">
        <v>68</v>
      </c>
      <c r="BL11" s="12">
        <v>4.8499999999999996</v>
      </c>
      <c r="BM11" s="12">
        <v>70.8</v>
      </c>
      <c r="BN11" s="12">
        <v>3.98</v>
      </c>
      <c r="BO11" s="12">
        <v>15.31</v>
      </c>
      <c r="BP11" s="12">
        <v>2.09</v>
      </c>
      <c r="BQ11" s="12" t="s">
        <v>68</v>
      </c>
      <c r="BR11" s="12">
        <v>4.5999999999999996</v>
      </c>
    </row>
    <row r="12" spans="1:70">
      <c r="A12" s="11">
        <v>10</v>
      </c>
      <c r="B12" s="11">
        <f t="shared" si="0"/>
        <v>1823.3491983967936</v>
      </c>
      <c r="C12" s="12">
        <v>20551.86</v>
      </c>
      <c r="D12" s="12">
        <v>180.69</v>
      </c>
      <c r="E12" s="12" t="s">
        <v>68</v>
      </c>
      <c r="F12" s="12">
        <v>381.22</v>
      </c>
      <c r="G12" s="12">
        <v>2384.4899999999998</v>
      </c>
      <c r="H12" s="12">
        <v>172.39</v>
      </c>
      <c r="I12" s="12">
        <v>2699.11</v>
      </c>
      <c r="J12" s="12">
        <v>105.46</v>
      </c>
      <c r="K12" s="12" t="s">
        <v>68</v>
      </c>
      <c r="L12" s="12">
        <v>17.670000000000002</v>
      </c>
      <c r="M12" s="12">
        <v>5083.41</v>
      </c>
      <c r="N12" s="12">
        <v>56.5</v>
      </c>
      <c r="O12" s="12">
        <v>124.15</v>
      </c>
      <c r="P12" s="12">
        <v>14.43</v>
      </c>
      <c r="Q12" s="12">
        <v>56.1</v>
      </c>
      <c r="R12" s="12">
        <v>7.38</v>
      </c>
      <c r="S12" s="12">
        <v>39.369999999999997</v>
      </c>
      <c r="T12" s="12">
        <v>21.9</v>
      </c>
      <c r="U12" s="12">
        <v>18162.759999999998</v>
      </c>
      <c r="V12" s="12">
        <v>117.11</v>
      </c>
      <c r="W12" s="12" t="s">
        <v>68</v>
      </c>
      <c r="X12" s="12">
        <v>64.239999999999995</v>
      </c>
      <c r="Y12" s="12" t="s">
        <v>68</v>
      </c>
      <c r="Z12" s="12">
        <v>17.579999999999998</v>
      </c>
      <c r="AA12" s="12">
        <v>26.95</v>
      </c>
      <c r="AB12" s="12">
        <v>7.32</v>
      </c>
      <c r="AC12" s="12">
        <v>261.8</v>
      </c>
      <c r="AD12" s="12">
        <v>8.3000000000000007</v>
      </c>
      <c r="AE12" s="12">
        <v>14.7</v>
      </c>
      <c r="AF12" s="12">
        <v>3.24</v>
      </c>
      <c r="AG12" s="12" t="s">
        <v>68</v>
      </c>
      <c r="AH12" s="12">
        <v>2.06</v>
      </c>
      <c r="AI12" s="12">
        <v>157.18</v>
      </c>
      <c r="AJ12" s="12">
        <v>2.8</v>
      </c>
      <c r="AK12" s="12">
        <v>137.35</v>
      </c>
      <c r="AL12" s="12">
        <v>2.33</v>
      </c>
      <c r="AM12" s="12">
        <v>274</v>
      </c>
      <c r="AN12" s="12">
        <v>3.22</v>
      </c>
      <c r="AO12" s="12">
        <v>7.97</v>
      </c>
      <c r="AP12" s="12">
        <v>1.63</v>
      </c>
      <c r="AQ12" s="12" t="s">
        <v>68</v>
      </c>
      <c r="AR12" s="12">
        <v>4.25</v>
      </c>
      <c r="AS12" s="12" t="s">
        <v>68</v>
      </c>
      <c r="AT12" s="12">
        <v>3.94</v>
      </c>
      <c r="AU12" s="12" t="s">
        <v>68</v>
      </c>
      <c r="AV12" s="12">
        <v>5.74</v>
      </c>
      <c r="AW12" s="12" t="s">
        <v>68</v>
      </c>
      <c r="AX12" s="12">
        <v>4.21</v>
      </c>
      <c r="AY12" s="12" t="s">
        <v>68</v>
      </c>
      <c r="AZ12" s="12">
        <v>6.4</v>
      </c>
      <c r="BA12" s="12" t="s">
        <v>68</v>
      </c>
      <c r="BB12" s="12">
        <v>12.82</v>
      </c>
      <c r="BC12" s="12" t="s">
        <v>68</v>
      </c>
      <c r="BD12" s="12">
        <v>4.26</v>
      </c>
      <c r="BE12" s="12">
        <v>24.54</v>
      </c>
      <c r="BF12" s="12">
        <v>13.37</v>
      </c>
      <c r="BG12" s="12" t="s">
        <v>68</v>
      </c>
      <c r="BH12" s="12">
        <v>21.51</v>
      </c>
      <c r="BI12" s="12">
        <v>4.54</v>
      </c>
      <c r="BJ12" s="12">
        <v>2.1800000000000002</v>
      </c>
      <c r="BK12" s="12" t="s">
        <v>68</v>
      </c>
      <c r="BL12" s="12">
        <v>4.82</v>
      </c>
      <c r="BM12" s="12">
        <v>66.19</v>
      </c>
      <c r="BN12" s="12">
        <v>3.84</v>
      </c>
      <c r="BO12" s="12">
        <v>17.940000000000001</v>
      </c>
      <c r="BP12" s="12">
        <v>2.12</v>
      </c>
      <c r="BQ12" s="12" t="s">
        <v>68</v>
      </c>
      <c r="BR12" s="12">
        <v>4.55</v>
      </c>
    </row>
    <row r="13" spans="1:70">
      <c r="A13" s="11">
        <v>11</v>
      </c>
      <c r="B13" s="11">
        <f t="shared" si="0"/>
        <v>1803.3091182364728</v>
      </c>
      <c r="C13" s="12">
        <v>21187.64</v>
      </c>
      <c r="D13" s="12">
        <v>183.92</v>
      </c>
      <c r="E13" s="12" t="s">
        <v>68</v>
      </c>
      <c r="F13" s="12">
        <v>376.63</v>
      </c>
      <c r="G13" s="12">
        <v>2493.67</v>
      </c>
      <c r="H13" s="12">
        <v>175.97</v>
      </c>
      <c r="I13" s="12">
        <v>2212.1999999999998</v>
      </c>
      <c r="J13" s="12">
        <v>107.19</v>
      </c>
      <c r="K13" s="12">
        <v>22.44</v>
      </c>
      <c r="L13" s="12">
        <v>11.61</v>
      </c>
      <c r="M13" s="12">
        <v>5199.3900000000003</v>
      </c>
      <c r="N13" s="12">
        <v>57.56</v>
      </c>
      <c r="O13" s="12">
        <v>129.61000000000001</v>
      </c>
      <c r="P13" s="12">
        <v>14.74</v>
      </c>
      <c r="Q13" s="12">
        <v>59.75</v>
      </c>
      <c r="R13" s="12">
        <v>7.49</v>
      </c>
      <c r="S13" s="12" t="s">
        <v>68</v>
      </c>
      <c r="T13" s="12">
        <v>32.46</v>
      </c>
      <c r="U13" s="12">
        <v>17155.5</v>
      </c>
      <c r="V13" s="12">
        <v>113.41</v>
      </c>
      <c r="W13" s="12" t="s">
        <v>68</v>
      </c>
      <c r="X13" s="12">
        <v>62.14</v>
      </c>
      <c r="Y13" s="12">
        <v>20.39</v>
      </c>
      <c r="Z13" s="12">
        <v>11.7</v>
      </c>
      <c r="AA13" s="12">
        <v>20.8</v>
      </c>
      <c r="AB13" s="12">
        <v>7.14</v>
      </c>
      <c r="AC13" s="12">
        <v>255.49</v>
      </c>
      <c r="AD13" s="12">
        <v>8.17</v>
      </c>
      <c r="AE13" s="12">
        <v>12.5</v>
      </c>
      <c r="AF13" s="12">
        <v>3.15</v>
      </c>
      <c r="AG13" s="12" t="s">
        <v>68</v>
      </c>
      <c r="AH13" s="12">
        <v>2.06</v>
      </c>
      <c r="AI13" s="12">
        <v>153.5</v>
      </c>
      <c r="AJ13" s="12">
        <v>2.77</v>
      </c>
      <c r="AK13" s="12">
        <v>137.34</v>
      </c>
      <c r="AL13" s="12">
        <v>2.3199999999999998</v>
      </c>
      <c r="AM13" s="12">
        <v>278.55</v>
      </c>
      <c r="AN13" s="12">
        <v>3.23</v>
      </c>
      <c r="AO13" s="12">
        <v>6.23</v>
      </c>
      <c r="AP13" s="12">
        <v>1.61</v>
      </c>
      <c r="AQ13" s="12" t="s">
        <v>68</v>
      </c>
      <c r="AR13" s="12">
        <v>4.3499999999999996</v>
      </c>
      <c r="AS13" s="12" t="s">
        <v>68</v>
      </c>
      <c r="AT13" s="12">
        <v>3.99</v>
      </c>
      <c r="AU13" s="12" t="s">
        <v>68</v>
      </c>
      <c r="AV13" s="12">
        <v>5.74</v>
      </c>
      <c r="AW13" s="12" t="s">
        <v>68</v>
      </c>
      <c r="AX13" s="12">
        <v>4.25</v>
      </c>
      <c r="AY13" s="12" t="s">
        <v>68</v>
      </c>
      <c r="AZ13" s="12">
        <v>6.42</v>
      </c>
      <c r="BA13" s="12" t="s">
        <v>68</v>
      </c>
      <c r="BB13" s="12">
        <v>13.04</v>
      </c>
      <c r="BC13" s="12" t="s">
        <v>68</v>
      </c>
      <c r="BD13" s="12">
        <v>4.29</v>
      </c>
      <c r="BE13" s="12">
        <v>67.27</v>
      </c>
      <c r="BF13" s="12">
        <v>13.55</v>
      </c>
      <c r="BG13" s="12" t="s">
        <v>68</v>
      </c>
      <c r="BH13" s="12">
        <v>21.04</v>
      </c>
      <c r="BI13" s="12" t="s">
        <v>68</v>
      </c>
      <c r="BJ13" s="12">
        <v>3.11</v>
      </c>
      <c r="BK13" s="12" t="s">
        <v>68</v>
      </c>
      <c r="BL13" s="12">
        <v>4.67</v>
      </c>
      <c r="BM13" s="12">
        <v>63.61</v>
      </c>
      <c r="BN13" s="12">
        <v>3.77</v>
      </c>
      <c r="BO13" s="12">
        <v>15.86</v>
      </c>
      <c r="BP13" s="12">
        <v>2.0499999999999998</v>
      </c>
      <c r="BQ13" s="12" t="s">
        <v>68</v>
      </c>
      <c r="BR13" s="12">
        <v>4.54</v>
      </c>
    </row>
    <row r="14" spans="1:70">
      <c r="A14" s="11">
        <v>12</v>
      </c>
      <c r="B14" s="11">
        <f t="shared" si="0"/>
        <v>1783.2690380761524</v>
      </c>
      <c r="C14" s="12">
        <v>21286.58</v>
      </c>
      <c r="D14" s="12">
        <v>184.31</v>
      </c>
      <c r="E14" s="12" t="s">
        <v>68</v>
      </c>
      <c r="F14" s="12">
        <v>362.55</v>
      </c>
      <c r="G14" s="12">
        <v>2876.82</v>
      </c>
      <c r="H14" s="12">
        <v>184.85</v>
      </c>
      <c r="I14" s="12">
        <v>2247.7399999999998</v>
      </c>
      <c r="J14" s="12">
        <v>103.78</v>
      </c>
      <c r="K14" s="12">
        <v>23.33</v>
      </c>
      <c r="L14" s="12">
        <v>11.26</v>
      </c>
      <c r="M14" s="12">
        <v>5095.04</v>
      </c>
      <c r="N14" s="12">
        <v>57.37</v>
      </c>
      <c r="O14" s="12">
        <v>131.41</v>
      </c>
      <c r="P14" s="12">
        <v>14.75</v>
      </c>
      <c r="Q14" s="12">
        <v>58.98</v>
      </c>
      <c r="R14" s="12">
        <v>7.45</v>
      </c>
      <c r="S14" s="12" t="s">
        <v>68</v>
      </c>
      <c r="T14" s="12">
        <v>31.13</v>
      </c>
      <c r="U14" s="12">
        <v>17245.169999999998</v>
      </c>
      <c r="V14" s="12">
        <v>113.12</v>
      </c>
      <c r="W14" s="12" t="s">
        <v>68</v>
      </c>
      <c r="X14" s="12">
        <v>62.53</v>
      </c>
      <c r="Y14" s="12" t="s">
        <v>68</v>
      </c>
      <c r="Z14" s="12">
        <v>17.36</v>
      </c>
      <c r="AA14" s="12">
        <v>27.42</v>
      </c>
      <c r="AB14" s="12">
        <v>7.28</v>
      </c>
      <c r="AC14" s="12">
        <v>383.36</v>
      </c>
      <c r="AD14" s="12">
        <v>9.68</v>
      </c>
      <c r="AE14" s="12">
        <v>15.26</v>
      </c>
      <c r="AF14" s="12">
        <v>3.3</v>
      </c>
      <c r="AG14" s="12" t="s">
        <v>68</v>
      </c>
      <c r="AH14" s="12">
        <v>2.04</v>
      </c>
      <c r="AI14" s="12">
        <v>160.97</v>
      </c>
      <c r="AJ14" s="12">
        <v>2.81</v>
      </c>
      <c r="AK14" s="12">
        <v>143.75</v>
      </c>
      <c r="AL14" s="12">
        <v>2.36</v>
      </c>
      <c r="AM14" s="12">
        <v>283.24</v>
      </c>
      <c r="AN14" s="12">
        <v>3.24</v>
      </c>
      <c r="AO14" s="12">
        <v>5.52</v>
      </c>
      <c r="AP14" s="12">
        <v>1.6</v>
      </c>
      <c r="AQ14" s="12" t="s">
        <v>68</v>
      </c>
      <c r="AR14" s="12">
        <v>4.12</v>
      </c>
      <c r="AS14" s="12" t="s">
        <v>68</v>
      </c>
      <c r="AT14" s="12">
        <v>3.84</v>
      </c>
      <c r="AU14" s="12" t="s">
        <v>68</v>
      </c>
      <c r="AV14" s="12">
        <v>5.54</v>
      </c>
      <c r="AW14" s="12" t="s">
        <v>68</v>
      </c>
      <c r="AX14" s="12">
        <v>4.0599999999999996</v>
      </c>
      <c r="AY14" s="12" t="s">
        <v>68</v>
      </c>
      <c r="AZ14" s="12">
        <v>6.1</v>
      </c>
      <c r="BA14" s="12" t="s">
        <v>68</v>
      </c>
      <c r="BB14" s="12">
        <v>12.44</v>
      </c>
      <c r="BC14" s="12" t="s">
        <v>68</v>
      </c>
      <c r="BD14" s="12">
        <v>4.12</v>
      </c>
      <c r="BE14" s="12" t="s">
        <v>68</v>
      </c>
      <c r="BF14" s="12">
        <v>19.28</v>
      </c>
      <c r="BG14" s="12" t="s">
        <v>68</v>
      </c>
      <c r="BH14" s="12">
        <v>20.92</v>
      </c>
      <c r="BI14" s="12" t="s">
        <v>68</v>
      </c>
      <c r="BJ14" s="12">
        <v>3.15</v>
      </c>
      <c r="BK14" s="12" t="s">
        <v>68</v>
      </c>
      <c r="BL14" s="12">
        <v>4.66</v>
      </c>
      <c r="BM14" s="12">
        <v>71.81</v>
      </c>
      <c r="BN14" s="12">
        <v>3.93</v>
      </c>
      <c r="BO14" s="12">
        <v>16.48</v>
      </c>
      <c r="BP14" s="12">
        <v>2.0699999999999998</v>
      </c>
      <c r="BQ14" s="12" t="s">
        <v>68</v>
      </c>
      <c r="BR14" s="12">
        <v>4.5999999999999996</v>
      </c>
    </row>
    <row r="15" spans="1:70">
      <c r="A15" s="11">
        <v>13</v>
      </c>
      <c r="B15" s="11">
        <f t="shared" si="0"/>
        <v>1763.2289579158316</v>
      </c>
      <c r="C15" s="12">
        <v>21951.38</v>
      </c>
      <c r="D15" s="12">
        <v>185.73</v>
      </c>
      <c r="E15" s="12" t="s">
        <v>68</v>
      </c>
      <c r="F15" s="12">
        <v>360.87</v>
      </c>
      <c r="G15" s="12">
        <v>2897.09</v>
      </c>
      <c r="H15" s="12">
        <v>184.22</v>
      </c>
      <c r="I15" s="12">
        <v>2233.69</v>
      </c>
      <c r="J15" s="12">
        <v>102.83</v>
      </c>
      <c r="K15" s="12">
        <v>28.26</v>
      </c>
      <c r="L15" s="12">
        <v>11.19</v>
      </c>
      <c r="M15" s="12">
        <v>5324.75</v>
      </c>
      <c r="N15" s="12">
        <v>57.38</v>
      </c>
      <c r="O15" s="12">
        <v>137.41</v>
      </c>
      <c r="P15" s="12">
        <v>14.67</v>
      </c>
      <c r="Q15" s="12">
        <v>59.89</v>
      </c>
      <c r="R15" s="12">
        <v>7.41</v>
      </c>
      <c r="S15" s="12" t="s">
        <v>68</v>
      </c>
      <c r="T15" s="12">
        <v>31.18</v>
      </c>
      <c r="U15" s="12">
        <v>17439.2</v>
      </c>
      <c r="V15" s="12">
        <v>113.74</v>
      </c>
      <c r="W15" s="12" t="s">
        <v>68</v>
      </c>
      <c r="X15" s="12">
        <v>62.37</v>
      </c>
      <c r="Y15" s="12" t="s">
        <v>68</v>
      </c>
      <c r="Z15" s="12">
        <v>17.350000000000001</v>
      </c>
      <c r="AA15" s="12">
        <v>26.17</v>
      </c>
      <c r="AB15" s="12">
        <v>7.25</v>
      </c>
      <c r="AC15" s="12">
        <v>300.27</v>
      </c>
      <c r="AD15" s="12">
        <v>8.7100000000000009</v>
      </c>
      <c r="AE15" s="12">
        <v>10.57</v>
      </c>
      <c r="AF15" s="12">
        <v>3.32</v>
      </c>
      <c r="AG15" s="12" t="s">
        <v>68</v>
      </c>
      <c r="AH15" s="12">
        <v>2</v>
      </c>
      <c r="AI15" s="12">
        <v>163.13</v>
      </c>
      <c r="AJ15" s="12">
        <v>2.83</v>
      </c>
      <c r="AK15" s="12">
        <v>145.74</v>
      </c>
      <c r="AL15" s="12">
        <v>2.37</v>
      </c>
      <c r="AM15" s="12">
        <v>270.76</v>
      </c>
      <c r="AN15" s="12">
        <v>3.18</v>
      </c>
      <c r="AO15" s="12">
        <v>5.35</v>
      </c>
      <c r="AP15" s="12">
        <v>1.59</v>
      </c>
      <c r="AQ15" s="12" t="s">
        <v>68</v>
      </c>
      <c r="AR15" s="12">
        <v>4.13</v>
      </c>
      <c r="AS15" s="12" t="s">
        <v>68</v>
      </c>
      <c r="AT15" s="12">
        <v>3.84</v>
      </c>
      <c r="AU15" s="12" t="s">
        <v>68</v>
      </c>
      <c r="AV15" s="12">
        <v>5.56</v>
      </c>
      <c r="AW15" s="12" t="s">
        <v>68</v>
      </c>
      <c r="AX15" s="12">
        <v>4.05</v>
      </c>
      <c r="AY15" s="12" t="s">
        <v>68</v>
      </c>
      <c r="AZ15" s="12">
        <v>6.19</v>
      </c>
      <c r="BA15" s="12" t="s">
        <v>68</v>
      </c>
      <c r="BB15" s="12">
        <v>12.36</v>
      </c>
      <c r="BC15" s="12" t="s">
        <v>68</v>
      </c>
      <c r="BD15" s="12">
        <v>4.13</v>
      </c>
      <c r="BE15" s="12" t="s">
        <v>68</v>
      </c>
      <c r="BF15" s="12">
        <v>19.29</v>
      </c>
      <c r="BG15" s="12" t="s">
        <v>68</v>
      </c>
      <c r="BH15" s="12">
        <v>21.13</v>
      </c>
      <c r="BI15" s="12" t="s">
        <v>68</v>
      </c>
      <c r="BJ15" s="12">
        <v>3.04</v>
      </c>
      <c r="BK15" s="12" t="s">
        <v>68</v>
      </c>
      <c r="BL15" s="12">
        <v>4.63</v>
      </c>
      <c r="BM15" s="12">
        <v>77.44</v>
      </c>
      <c r="BN15" s="12">
        <v>4.05</v>
      </c>
      <c r="BO15" s="12">
        <v>18.04</v>
      </c>
      <c r="BP15" s="12">
        <v>2.12</v>
      </c>
      <c r="BQ15" s="12" t="s">
        <v>68</v>
      </c>
      <c r="BR15" s="12">
        <v>4.6500000000000004</v>
      </c>
    </row>
    <row r="16" spans="1:70">
      <c r="A16" s="11">
        <v>14</v>
      </c>
      <c r="B16" s="11">
        <f t="shared" si="0"/>
        <v>1743.1888777555109</v>
      </c>
      <c r="C16" s="12">
        <v>21668.93</v>
      </c>
      <c r="D16" s="12">
        <v>183.95</v>
      </c>
      <c r="E16" s="12" t="s">
        <v>68</v>
      </c>
      <c r="F16" s="12">
        <v>353.13</v>
      </c>
      <c r="G16" s="12">
        <v>4078.28</v>
      </c>
      <c r="H16" s="12">
        <v>210.01</v>
      </c>
      <c r="I16" s="12">
        <v>2367.38</v>
      </c>
      <c r="J16" s="12">
        <v>101.97</v>
      </c>
      <c r="K16" s="12">
        <v>18.600000000000001</v>
      </c>
      <c r="L16" s="12">
        <v>11.09</v>
      </c>
      <c r="M16" s="12">
        <v>5025.57</v>
      </c>
      <c r="N16" s="12">
        <v>56.7</v>
      </c>
      <c r="O16" s="12">
        <v>141.76</v>
      </c>
      <c r="P16" s="12">
        <v>14.7</v>
      </c>
      <c r="Q16" s="12">
        <v>59.55</v>
      </c>
      <c r="R16" s="12">
        <v>7.4</v>
      </c>
      <c r="S16" s="12">
        <v>36.04</v>
      </c>
      <c r="T16" s="12">
        <v>22.05</v>
      </c>
      <c r="U16" s="12">
        <v>16653.45</v>
      </c>
      <c r="V16" s="12">
        <v>113.04</v>
      </c>
      <c r="W16" s="12" t="s">
        <v>68</v>
      </c>
      <c r="X16" s="12">
        <v>61.88</v>
      </c>
      <c r="Y16" s="12">
        <v>25.57</v>
      </c>
      <c r="Z16" s="12">
        <v>11.89</v>
      </c>
      <c r="AA16" s="12">
        <v>26.81</v>
      </c>
      <c r="AB16" s="12">
        <v>7.36</v>
      </c>
      <c r="AC16" s="12">
        <v>355.32</v>
      </c>
      <c r="AD16" s="12">
        <v>9.5299999999999994</v>
      </c>
      <c r="AE16" s="12">
        <v>15.12</v>
      </c>
      <c r="AF16" s="12">
        <v>3.47</v>
      </c>
      <c r="AG16" s="12" t="s">
        <v>68</v>
      </c>
      <c r="AH16" s="12">
        <v>2.1</v>
      </c>
      <c r="AI16" s="12">
        <v>154.33000000000001</v>
      </c>
      <c r="AJ16" s="12">
        <v>2.81</v>
      </c>
      <c r="AK16" s="12">
        <v>140.47999999999999</v>
      </c>
      <c r="AL16" s="12">
        <v>2.37</v>
      </c>
      <c r="AM16" s="12">
        <v>257</v>
      </c>
      <c r="AN16" s="12">
        <v>3.16</v>
      </c>
      <c r="AO16" s="12">
        <v>6.48</v>
      </c>
      <c r="AP16" s="12">
        <v>1.62</v>
      </c>
      <c r="AQ16" s="12" t="s">
        <v>68</v>
      </c>
      <c r="AR16" s="12">
        <v>4.3099999999999996</v>
      </c>
      <c r="AS16" s="12" t="s">
        <v>68</v>
      </c>
      <c r="AT16" s="12">
        <v>4.08</v>
      </c>
      <c r="AU16" s="12" t="s">
        <v>68</v>
      </c>
      <c r="AV16" s="12">
        <v>5.89</v>
      </c>
      <c r="AW16" s="12" t="s">
        <v>68</v>
      </c>
      <c r="AX16" s="12">
        <v>4.34</v>
      </c>
      <c r="AY16" s="12" t="s">
        <v>68</v>
      </c>
      <c r="AZ16" s="12">
        <v>6.59</v>
      </c>
      <c r="BA16" s="12" t="s">
        <v>68</v>
      </c>
      <c r="BB16" s="12">
        <v>13.29</v>
      </c>
      <c r="BC16" s="12" t="s">
        <v>68</v>
      </c>
      <c r="BD16" s="12">
        <v>4.3899999999999997</v>
      </c>
      <c r="BE16" s="12">
        <v>103.23</v>
      </c>
      <c r="BF16" s="12">
        <v>13.8</v>
      </c>
      <c r="BG16" s="12" t="s">
        <v>68</v>
      </c>
      <c r="BH16" s="12">
        <v>21.93</v>
      </c>
      <c r="BI16" s="12" t="s">
        <v>68</v>
      </c>
      <c r="BJ16" s="12">
        <v>3.15</v>
      </c>
      <c r="BK16" s="12" t="s">
        <v>68</v>
      </c>
      <c r="BL16" s="12">
        <v>4.78</v>
      </c>
      <c r="BM16" s="12">
        <v>79.540000000000006</v>
      </c>
      <c r="BN16" s="12">
        <v>4.16</v>
      </c>
      <c r="BO16" s="12">
        <v>17.04</v>
      </c>
      <c r="BP16" s="12">
        <v>2.13</v>
      </c>
      <c r="BQ16" s="12" t="s">
        <v>68</v>
      </c>
      <c r="BR16" s="12">
        <v>4.67</v>
      </c>
    </row>
    <row r="17" spans="1:70">
      <c r="A17" s="11">
        <v>15</v>
      </c>
      <c r="B17" s="11">
        <f t="shared" si="0"/>
        <v>1723.1487975951904</v>
      </c>
      <c r="C17" s="12">
        <v>22141.279999999999</v>
      </c>
      <c r="D17" s="12">
        <v>188.9</v>
      </c>
      <c r="E17" s="12" t="s">
        <v>68</v>
      </c>
      <c r="F17" s="12">
        <v>378.58</v>
      </c>
      <c r="G17" s="12">
        <v>3425.24</v>
      </c>
      <c r="H17" s="12">
        <v>199.08</v>
      </c>
      <c r="I17" s="12">
        <v>2053.91</v>
      </c>
      <c r="J17" s="12">
        <v>103.95</v>
      </c>
      <c r="K17" s="12">
        <v>23.53</v>
      </c>
      <c r="L17" s="12">
        <v>11.14</v>
      </c>
      <c r="M17" s="12">
        <v>5179.76</v>
      </c>
      <c r="N17" s="12">
        <v>58.02</v>
      </c>
      <c r="O17" s="12">
        <v>140.69</v>
      </c>
      <c r="P17" s="12">
        <v>14.95</v>
      </c>
      <c r="Q17" s="12">
        <v>59.97</v>
      </c>
      <c r="R17" s="12">
        <v>7.48</v>
      </c>
      <c r="S17" s="12">
        <v>45.71</v>
      </c>
      <c r="T17" s="12">
        <v>22.29</v>
      </c>
      <c r="U17" s="12">
        <v>17206.46</v>
      </c>
      <c r="V17" s="12">
        <v>114.24</v>
      </c>
      <c r="W17" s="12" t="s">
        <v>68</v>
      </c>
      <c r="X17" s="12">
        <v>62.87</v>
      </c>
      <c r="Y17" s="12">
        <v>33.090000000000003</v>
      </c>
      <c r="Z17" s="12">
        <v>11.95</v>
      </c>
      <c r="AA17" s="12">
        <v>30.24</v>
      </c>
      <c r="AB17" s="12">
        <v>7.39</v>
      </c>
      <c r="AC17" s="12">
        <v>302.60000000000002</v>
      </c>
      <c r="AD17" s="12">
        <v>8.83</v>
      </c>
      <c r="AE17" s="12">
        <v>14.29</v>
      </c>
      <c r="AF17" s="12">
        <v>3.34</v>
      </c>
      <c r="AG17" s="12" t="s">
        <v>68</v>
      </c>
      <c r="AH17" s="12">
        <v>2.0699999999999998</v>
      </c>
      <c r="AI17" s="12">
        <v>154.21</v>
      </c>
      <c r="AJ17" s="12">
        <v>2.8</v>
      </c>
      <c r="AK17" s="12">
        <v>141.25</v>
      </c>
      <c r="AL17" s="12">
        <v>2.36</v>
      </c>
      <c r="AM17" s="12">
        <v>273.89</v>
      </c>
      <c r="AN17" s="12">
        <v>3.23</v>
      </c>
      <c r="AO17" s="12">
        <v>4.6100000000000003</v>
      </c>
      <c r="AP17" s="12">
        <v>1.61</v>
      </c>
      <c r="AQ17" s="12" t="s">
        <v>68</v>
      </c>
      <c r="AR17" s="12">
        <v>4.51</v>
      </c>
      <c r="AS17" s="12" t="s">
        <v>68</v>
      </c>
      <c r="AT17" s="12">
        <v>4.1500000000000004</v>
      </c>
      <c r="AU17" s="12" t="s">
        <v>68</v>
      </c>
      <c r="AV17" s="12">
        <v>5.97</v>
      </c>
      <c r="AW17" s="12" t="s">
        <v>68</v>
      </c>
      <c r="AX17" s="12">
        <v>4.4400000000000004</v>
      </c>
      <c r="AY17" s="12" t="s">
        <v>68</v>
      </c>
      <c r="AZ17" s="12">
        <v>6.75</v>
      </c>
      <c r="BA17" s="12" t="s">
        <v>68</v>
      </c>
      <c r="BB17" s="12">
        <v>13.66</v>
      </c>
      <c r="BC17" s="12" t="s">
        <v>68</v>
      </c>
      <c r="BD17" s="12">
        <v>4.49</v>
      </c>
      <c r="BE17" s="12">
        <v>162.72</v>
      </c>
      <c r="BF17" s="12">
        <v>14.28</v>
      </c>
      <c r="BG17" s="12" t="s">
        <v>68</v>
      </c>
      <c r="BH17" s="12">
        <v>21.32</v>
      </c>
      <c r="BI17" s="12" t="s">
        <v>68</v>
      </c>
      <c r="BJ17" s="12">
        <v>3.13</v>
      </c>
      <c r="BK17" s="12">
        <v>5.45</v>
      </c>
      <c r="BL17" s="12">
        <v>3.22</v>
      </c>
      <c r="BM17" s="12">
        <v>72.930000000000007</v>
      </c>
      <c r="BN17" s="12">
        <v>4</v>
      </c>
      <c r="BO17" s="12">
        <v>16.21</v>
      </c>
      <c r="BP17" s="12">
        <v>2.09</v>
      </c>
      <c r="BQ17" s="12" t="s">
        <v>68</v>
      </c>
      <c r="BR17" s="12">
        <v>4.6500000000000004</v>
      </c>
    </row>
    <row r="18" spans="1:70">
      <c r="A18" s="11">
        <v>16</v>
      </c>
      <c r="B18" s="11">
        <f t="shared" si="0"/>
        <v>1703.1087174348697</v>
      </c>
      <c r="C18" s="12">
        <v>22251.66</v>
      </c>
      <c r="D18" s="12">
        <v>193.91</v>
      </c>
      <c r="E18" s="12" t="s">
        <v>68</v>
      </c>
      <c r="F18" s="12">
        <v>394</v>
      </c>
      <c r="G18" s="12">
        <v>5794.04</v>
      </c>
      <c r="H18" s="12">
        <v>254.08</v>
      </c>
      <c r="I18" s="12">
        <v>1690.21</v>
      </c>
      <c r="J18" s="12">
        <v>108.81</v>
      </c>
      <c r="K18" s="12">
        <v>19.100000000000001</v>
      </c>
      <c r="L18" s="12">
        <v>11.29</v>
      </c>
      <c r="M18" s="12">
        <v>5314.35</v>
      </c>
      <c r="N18" s="12">
        <v>59.76</v>
      </c>
      <c r="O18" s="12">
        <v>145.31</v>
      </c>
      <c r="P18" s="12">
        <v>15.37</v>
      </c>
      <c r="Q18" s="12">
        <v>66.27</v>
      </c>
      <c r="R18" s="12">
        <v>7.77</v>
      </c>
      <c r="S18" s="12">
        <v>63.82</v>
      </c>
      <c r="T18" s="12">
        <v>22.94</v>
      </c>
      <c r="U18" s="12">
        <v>18966.55</v>
      </c>
      <c r="V18" s="12">
        <v>120.72</v>
      </c>
      <c r="W18" s="12" t="s">
        <v>68</v>
      </c>
      <c r="X18" s="12">
        <v>66.150000000000006</v>
      </c>
      <c r="Y18" s="12">
        <v>37.299999999999997</v>
      </c>
      <c r="Z18" s="12">
        <v>12.15</v>
      </c>
      <c r="AA18" s="12">
        <v>27.43</v>
      </c>
      <c r="AB18" s="12">
        <v>7.43</v>
      </c>
      <c r="AC18" s="12">
        <v>311.83999999999997</v>
      </c>
      <c r="AD18" s="12">
        <v>9.01</v>
      </c>
      <c r="AE18" s="12">
        <v>19.579999999999998</v>
      </c>
      <c r="AF18" s="12">
        <v>3.56</v>
      </c>
      <c r="AG18" s="12" t="s">
        <v>68</v>
      </c>
      <c r="AH18" s="12">
        <v>2.14</v>
      </c>
      <c r="AI18" s="12">
        <v>149.69999999999999</v>
      </c>
      <c r="AJ18" s="12">
        <v>2.78</v>
      </c>
      <c r="AK18" s="12">
        <v>136.78</v>
      </c>
      <c r="AL18" s="12">
        <v>2.35</v>
      </c>
      <c r="AM18" s="12">
        <v>284.12</v>
      </c>
      <c r="AN18" s="12">
        <v>3.3</v>
      </c>
      <c r="AO18" s="12">
        <v>6.78</v>
      </c>
      <c r="AP18" s="12">
        <v>1.65</v>
      </c>
      <c r="AQ18" s="12" t="s">
        <v>68</v>
      </c>
      <c r="AR18" s="12">
        <v>4.51</v>
      </c>
      <c r="AS18" s="12" t="s">
        <v>68</v>
      </c>
      <c r="AT18" s="12">
        <v>4.12</v>
      </c>
      <c r="AU18" s="12" t="s">
        <v>68</v>
      </c>
      <c r="AV18" s="12">
        <v>5.98</v>
      </c>
      <c r="AW18" s="12" t="s">
        <v>68</v>
      </c>
      <c r="AX18" s="12">
        <v>4.4400000000000004</v>
      </c>
      <c r="AY18" s="12" t="s">
        <v>68</v>
      </c>
      <c r="AZ18" s="12">
        <v>6.75</v>
      </c>
      <c r="BA18" s="12" t="s">
        <v>68</v>
      </c>
      <c r="BB18" s="12">
        <v>13.65</v>
      </c>
      <c r="BC18" s="12" t="s">
        <v>68</v>
      </c>
      <c r="BD18" s="12">
        <v>4.47</v>
      </c>
      <c r="BE18" s="12">
        <v>137.58000000000001</v>
      </c>
      <c r="BF18" s="12">
        <v>14.18</v>
      </c>
      <c r="BG18" s="12" t="s">
        <v>68</v>
      </c>
      <c r="BH18" s="12">
        <v>21.6</v>
      </c>
      <c r="BI18" s="12">
        <v>3.94</v>
      </c>
      <c r="BJ18" s="12">
        <v>2.2000000000000002</v>
      </c>
      <c r="BK18" s="12" t="s">
        <v>68</v>
      </c>
      <c r="BL18" s="12">
        <v>4.74</v>
      </c>
      <c r="BM18" s="12">
        <v>80.52</v>
      </c>
      <c r="BN18" s="12">
        <v>4.1900000000000004</v>
      </c>
      <c r="BO18" s="12">
        <v>16.18</v>
      </c>
      <c r="BP18" s="12">
        <v>2.12</v>
      </c>
      <c r="BQ18" s="12" t="s">
        <v>68</v>
      </c>
      <c r="BR18" s="12">
        <v>4.6500000000000004</v>
      </c>
    </row>
    <row r="19" spans="1:70">
      <c r="A19" s="11">
        <v>17</v>
      </c>
      <c r="B19" s="11">
        <f t="shared" si="0"/>
        <v>1683.068637274549</v>
      </c>
      <c r="C19" s="12">
        <v>22445.360000000001</v>
      </c>
      <c r="D19" s="12">
        <v>195.59</v>
      </c>
      <c r="E19" s="12" t="s">
        <v>68</v>
      </c>
      <c r="F19" s="12">
        <v>403.93</v>
      </c>
      <c r="G19" s="12">
        <v>7334.1</v>
      </c>
      <c r="H19" s="12">
        <v>283.23</v>
      </c>
      <c r="I19" s="12">
        <v>1688.86</v>
      </c>
      <c r="J19" s="12">
        <v>109.62</v>
      </c>
      <c r="K19" s="12">
        <v>24.75</v>
      </c>
      <c r="L19" s="12">
        <v>11.5</v>
      </c>
      <c r="M19" s="12">
        <v>5408.03</v>
      </c>
      <c r="N19" s="12">
        <v>60.57</v>
      </c>
      <c r="O19" s="12">
        <v>151.16</v>
      </c>
      <c r="P19" s="12">
        <v>15.6</v>
      </c>
      <c r="Q19" s="12">
        <v>61.31</v>
      </c>
      <c r="R19" s="12">
        <v>7.8</v>
      </c>
      <c r="S19" s="12">
        <v>68.010000000000005</v>
      </c>
      <c r="T19" s="12">
        <v>23.46</v>
      </c>
      <c r="U19" s="12">
        <v>20527.34</v>
      </c>
      <c r="V19" s="12">
        <v>126.8</v>
      </c>
      <c r="W19" s="12" t="s">
        <v>68</v>
      </c>
      <c r="X19" s="12">
        <v>69.290000000000006</v>
      </c>
      <c r="Y19" s="12">
        <v>36.76</v>
      </c>
      <c r="Z19" s="12">
        <v>12.29</v>
      </c>
      <c r="AA19" s="12">
        <v>26.33</v>
      </c>
      <c r="AB19" s="12">
        <v>7.49</v>
      </c>
      <c r="AC19" s="12">
        <v>302.36</v>
      </c>
      <c r="AD19" s="12">
        <v>9</v>
      </c>
      <c r="AE19" s="12">
        <v>27.74</v>
      </c>
      <c r="AF19" s="12">
        <v>3.65</v>
      </c>
      <c r="AG19" s="12" t="s">
        <v>68</v>
      </c>
      <c r="AH19" s="12">
        <v>2.19</v>
      </c>
      <c r="AI19" s="12">
        <v>147.96</v>
      </c>
      <c r="AJ19" s="12">
        <v>2.8</v>
      </c>
      <c r="AK19" s="12">
        <v>140.55000000000001</v>
      </c>
      <c r="AL19" s="12">
        <v>2.4</v>
      </c>
      <c r="AM19" s="12">
        <v>269.31</v>
      </c>
      <c r="AN19" s="12">
        <v>3.26</v>
      </c>
      <c r="AO19" s="12">
        <v>7.09</v>
      </c>
      <c r="AP19" s="12">
        <v>1.66</v>
      </c>
      <c r="AQ19" s="12" t="s">
        <v>68</v>
      </c>
      <c r="AR19" s="12">
        <v>4.45</v>
      </c>
      <c r="AS19" s="12" t="s">
        <v>68</v>
      </c>
      <c r="AT19" s="12">
        <v>4.1500000000000004</v>
      </c>
      <c r="AU19" s="12" t="s">
        <v>68</v>
      </c>
      <c r="AV19" s="12">
        <v>6.02</v>
      </c>
      <c r="AW19" s="12" t="s">
        <v>68</v>
      </c>
      <c r="AX19" s="12">
        <v>4.45</v>
      </c>
      <c r="AY19" s="12" t="s">
        <v>68</v>
      </c>
      <c r="AZ19" s="12">
        <v>6.74</v>
      </c>
      <c r="BA19" s="12" t="s">
        <v>68</v>
      </c>
      <c r="BB19" s="12">
        <v>13.72</v>
      </c>
      <c r="BC19" s="12" t="s">
        <v>68</v>
      </c>
      <c r="BD19" s="12">
        <v>4.5199999999999996</v>
      </c>
      <c r="BE19" s="12">
        <v>163.19999999999999</v>
      </c>
      <c r="BF19" s="12">
        <v>14.34</v>
      </c>
      <c r="BG19" s="12" t="s">
        <v>68</v>
      </c>
      <c r="BH19" s="12">
        <v>22.26</v>
      </c>
      <c r="BI19" s="12">
        <v>4.49</v>
      </c>
      <c r="BJ19" s="12">
        <v>2.2599999999999998</v>
      </c>
      <c r="BK19" s="12" t="s">
        <v>68</v>
      </c>
      <c r="BL19" s="12">
        <v>4.9000000000000004</v>
      </c>
      <c r="BM19" s="12">
        <v>76.040000000000006</v>
      </c>
      <c r="BN19" s="12">
        <v>4.1399999999999997</v>
      </c>
      <c r="BO19" s="12">
        <v>17.399999999999999</v>
      </c>
      <c r="BP19" s="12">
        <v>2.16</v>
      </c>
      <c r="BQ19" s="12" t="s">
        <v>68</v>
      </c>
      <c r="BR19" s="12">
        <v>4.72</v>
      </c>
    </row>
    <row r="20" spans="1:70">
      <c r="A20" s="11">
        <v>18</v>
      </c>
      <c r="B20" s="11">
        <f t="shared" si="0"/>
        <v>1663.0285571142285</v>
      </c>
      <c r="C20" s="12">
        <v>21787.07</v>
      </c>
      <c r="D20" s="12">
        <v>194.62</v>
      </c>
      <c r="E20" s="12">
        <v>536.46</v>
      </c>
      <c r="F20" s="12">
        <v>286.57</v>
      </c>
      <c r="G20" s="12">
        <v>9389.4</v>
      </c>
      <c r="H20" s="12">
        <v>319.55</v>
      </c>
      <c r="I20" s="12">
        <v>1874.41</v>
      </c>
      <c r="J20" s="12">
        <v>111.72</v>
      </c>
      <c r="K20" s="12">
        <v>26.33</v>
      </c>
      <c r="L20" s="12">
        <v>12.05</v>
      </c>
      <c r="M20" s="12">
        <v>5196.63</v>
      </c>
      <c r="N20" s="12">
        <v>60.21</v>
      </c>
      <c r="O20" s="12">
        <v>142.07</v>
      </c>
      <c r="P20" s="12">
        <v>15.52</v>
      </c>
      <c r="Q20" s="12">
        <v>76.03</v>
      </c>
      <c r="R20" s="12">
        <v>7.99</v>
      </c>
      <c r="S20" s="12">
        <v>86.82</v>
      </c>
      <c r="T20" s="12">
        <v>24.26</v>
      </c>
      <c r="U20" s="12">
        <v>22525.66</v>
      </c>
      <c r="V20" s="12">
        <v>133.88</v>
      </c>
      <c r="W20" s="12" t="s">
        <v>68</v>
      </c>
      <c r="X20" s="12">
        <v>73.27</v>
      </c>
      <c r="Y20" s="12">
        <v>41.86</v>
      </c>
      <c r="Z20" s="12">
        <v>12.55</v>
      </c>
      <c r="AA20" s="12">
        <v>18.7</v>
      </c>
      <c r="AB20" s="12">
        <v>7.43</v>
      </c>
      <c r="AC20" s="12">
        <v>283.01</v>
      </c>
      <c r="AD20" s="12">
        <v>8.83</v>
      </c>
      <c r="AE20" s="12">
        <v>26.6</v>
      </c>
      <c r="AF20" s="12">
        <v>3.68</v>
      </c>
      <c r="AG20" s="12" t="s">
        <v>68</v>
      </c>
      <c r="AH20" s="12">
        <v>2.21</v>
      </c>
      <c r="AI20" s="12">
        <v>143.21</v>
      </c>
      <c r="AJ20" s="12">
        <v>2.78</v>
      </c>
      <c r="AK20" s="12">
        <v>140.41999999999999</v>
      </c>
      <c r="AL20" s="12">
        <v>2.42</v>
      </c>
      <c r="AM20" s="12">
        <v>287.02999999999997</v>
      </c>
      <c r="AN20" s="12">
        <v>3.38</v>
      </c>
      <c r="AO20" s="12">
        <v>7.88</v>
      </c>
      <c r="AP20" s="12">
        <v>1.69</v>
      </c>
      <c r="AQ20" s="12" t="s">
        <v>68</v>
      </c>
      <c r="AR20" s="12">
        <v>4.51</v>
      </c>
      <c r="AS20" s="12" t="s">
        <v>68</v>
      </c>
      <c r="AT20" s="12">
        <v>4.2</v>
      </c>
      <c r="AU20" s="12" t="s">
        <v>68</v>
      </c>
      <c r="AV20" s="12">
        <v>6.16</v>
      </c>
      <c r="AW20" s="12" t="s">
        <v>68</v>
      </c>
      <c r="AX20" s="12">
        <v>4.5199999999999996</v>
      </c>
      <c r="AY20" s="12" t="s">
        <v>68</v>
      </c>
      <c r="AZ20" s="12">
        <v>6.9</v>
      </c>
      <c r="BA20" s="12" t="s">
        <v>68</v>
      </c>
      <c r="BB20" s="12">
        <v>13.92</v>
      </c>
      <c r="BC20" s="12" t="s">
        <v>68</v>
      </c>
      <c r="BD20" s="12">
        <v>4.59</v>
      </c>
      <c r="BE20" s="12">
        <v>207.4</v>
      </c>
      <c r="BF20" s="12">
        <v>14.7</v>
      </c>
      <c r="BG20" s="12" t="s">
        <v>68</v>
      </c>
      <c r="BH20" s="12">
        <v>23.06</v>
      </c>
      <c r="BI20" s="12">
        <v>3.47</v>
      </c>
      <c r="BJ20" s="12">
        <v>2.2400000000000002</v>
      </c>
      <c r="BK20" s="12" t="s">
        <v>68</v>
      </c>
      <c r="BL20" s="12">
        <v>4.9400000000000004</v>
      </c>
      <c r="BM20" s="12">
        <v>76.91</v>
      </c>
      <c r="BN20" s="12">
        <v>4.1900000000000004</v>
      </c>
      <c r="BO20" s="12">
        <v>15.18</v>
      </c>
      <c r="BP20" s="12">
        <v>2.13</v>
      </c>
      <c r="BQ20" s="12" t="s">
        <v>68</v>
      </c>
      <c r="BR20" s="12">
        <v>4.72</v>
      </c>
    </row>
    <row r="21" spans="1:70" ht="15.75" customHeight="1">
      <c r="A21" s="11">
        <v>19</v>
      </c>
      <c r="B21" s="11">
        <f t="shared" si="0"/>
        <v>1642.9884769539078</v>
      </c>
      <c r="C21" s="12">
        <v>21651.03</v>
      </c>
      <c r="D21" s="12">
        <v>199.04</v>
      </c>
      <c r="E21" s="12" t="s">
        <v>68</v>
      </c>
      <c r="F21" s="12">
        <v>413.08</v>
      </c>
      <c r="G21" s="12">
        <v>11661.72</v>
      </c>
      <c r="H21" s="12">
        <v>362.22</v>
      </c>
      <c r="I21" s="12">
        <v>1944.05</v>
      </c>
      <c r="J21" s="12">
        <v>114.78</v>
      </c>
      <c r="K21" s="12">
        <v>40.5</v>
      </c>
      <c r="L21" s="12">
        <v>12.75</v>
      </c>
      <c r="M21" s="12">
        <v>5262.61</v>
      </c>
      <c r="N21" s="12">
        <v>61.8</v>
      </c>
      <c r="O21" s="12">
        <v>131.83000000000001</v>
      </c>
      <c r="P21" s="12">
        <v>15.8</v>
      </c>
      <c r="Q21" s="12">
        <v>61.12</v>
      </c>
      <c r="R21" s="12">
        <v>8.0500000000000007</v>
      </c>
      <c r="S21" s="12">
        <v>70.5</v>
      </c>
      <c r="T21" s="12">
        <v>23.86</v>
      </c>
      <c r="U21" s="12">
        <v>25178.240000000002</v>
      </c>
      <c r="V21" s="12">
        <v>140.63</v>
      </c>
      <c r="W21" s="12" t="s">
        <v>68</v>
      </c>
      <c r="X21" s="12">
        <v>76.040000000000006</v>
      </c>
      <c r="Y21" s="12">
        <v>31.83</v>
      </c>
      <c r="Z21" s="12">
        <v>12.32</v>
      </c>
      <c r="AA21" s="12">
        <v>24.56</v>
      </c>
      <c r="AB21" s="12">
        <v>7.5</v>
      </c>
      <c r="AC21" s="12">
        <v>295.74</v>
      </c>
      <c r="AD21" s="12">
        <v>8.94</v>
      </c>
      <c r="AE21" s="12">
        <v>32.36</v>
      </c>
      <c r="AF21" s="12">
        <v>3.76</v>
      </c>
      <c r="AG21" s="12" t="s">
        <v>68</v>
      </c>
      <c r="AH21" s="12">
        <v>2.15</v>
      </c>
      <c r="AI21" s="12">
        <v>141.68</v>
      </c>
      <c r="AJ21" s="12">
        <v>2.75</v>
      </c>
      <c r="AK21" s="12">
        <v>137.71</v>
      </c>
      <c r="AL21" s="12">
        <v>2.38</v>
      </c>
      <c r="AM21" s="12">
        <v>271.06</v>
      </c>
      <c r="AN21" s="12">
        <v>3.28</v>
      </c>
      <c r="AO21" s="12">
        <v>11.57</v>
      </c>
      <c r="AP21" s="12">
        <v>1.7</v>
      </c>
      <c r="AQ21" s="12" t="s">
        <v>68</v>
      </c>
      <c r="AR21" s="12">
        <v>4.45</v>
      </c>
      <c r="AS21" s="12" t="s">
        <v>68</v>
      </c>
      <c r="AT21" s="12">
        <v>4.25</v>
      </c>
      <c r="AU21" s="12" t="s">
        <v>68</v>
      </c>
      <c r="AV21" s="12">
        <v>6.04</v>
      </c>
      <c r="AW21" s="12" t="s">
        <v>68</v>
      </c>
      <c r="AX21" s="12">
        <v>4.51</v>
      </c>
      <c r="AY21" s="12" t="s">
        <v>68</v>
      </c>
      <c r="AZ21" s="12">
        <v>6.85</v>
      </c>
      <c r="BA21" s="12" t="s">
        <v>68</v>
      </c>
      <c r="BB21" s="12">
        <v>13.75</v>
      </c>
      <c r="BC21" s="12" t="s">
        <v>68</v>
      </c>
      <c r="BD21" s="12">
        <v>4.5599999999999996</v>
      </c>
      <c r="BE21" s="12">
        <v>157.91</v>
      </c>
      <c r="BF21" s="12">
        <v>14.47</v>
      </c>
      <c r="BG21" s="12" t="s">
        <v>68</v>
      </c>
      <c r="BH21" s="12">
        <v>22.31</v>
      </c>
      <c r="BI21" s="12" t="s">
        <v>68</v>
      </c>
      <c r="BJ21" s="12">
        <v>3.23</v>
      </c>
      <c r="BK21" s="12" t="s">
        <v>68</v>
      </c>
      <c r="BL21" s="12">
        <v>4.9400000000000004</v>
      </c>
      <c r="BM21" s="12">
        <v>78.62</v>
      </c>
      <c r="BN21" s="12">
        <v>4.2</v>
      </c>
      <c r="BO21" s="12">
        <v>14.7</v>
      </c>
      <c r="BP21" s="12">
        <v>2.11</v>
      </c>
      <c r="BQ21" s="12" t="s">
        <v>68</v>
      </c>
      <c r="BR21" s="12">
        <v>4.6500000000000004</v>
      </c>
    </row>
    <row r="22" spans="1:70" ht="15.75" customHeight="1">
      <c r="A22" s="11">
        <v>20</v>
      </c>
      <c r="B22" s="11">
        <f t="shared" si="0"/>
        <v>1622.9483967935871</v>
      </c>
      <c r="C22" s="12">
        <v>20827.78</v>
      </c>
      <c r="D22" s="12">
        <v>199.2</v>
      </c>
      <c r="E22" s="12" t="s">
        <v>68</v>
      </c>
      <c r="F22" s="12">
        <v>432.73</v>
      </c>
      <c r="G22" s="12">
        <v>14444.32</v>
      </c>
      <c r="H22" s="12">
        <v>408.05</v>
      </c>
      <c r="I22" s="12">
        <v>2067.9899999999998</v>
      </c>
      <c r="J22" s="12">
        <v>117.44</v>
      </c>
      <c r="K22" s="12" t="s">
        <v>68</v>
      </c>
      <c r="L22" s="12">
        <v>19.32</v>
      </c>
      <c r="M22" s="12">
        <v>5180.7</v>
      </c>
      <c r="N22" s="12">
        <v>62.2</v>
      </c>
      <c r="O22" s="12">
        <v>135.91999999999999</v>
      </c>
      <c r="P22" s="12">
        <v>15.93</v>
      </c>
      <c r="Q22" s="12">
        <v>67.5</v>
      </c>
      <c r="R22" s="12">
        <v>8.23</v>
      </c>
      <c r="S22" s="12">
        <v>84.79</v>
      </c>
      <c r="T22" s="12">
        <v>24.85</v>
      </c>
      <c r="U22" s="12">
        <v>27572.400000000001</v>
      </c>
      <c r="V22" s="12">
        <v>150.12</v>
      </c>
      <c r="W22" s="12" t="s">
        <v>68</v>
      </c>
      <c r="X22" s="12">
        <v>81.61</v>
      </c>
      <c r="Y22" s="12">
        <v>52.78</v>
      </c>
      <c r="Z22" s="12">
        <v>12.99</v>
      </c>
      <c r="AA22" s="12">
        <v>30.86</v>
      </c>
      <c r="AB22" s="12">
        <v>7.87</v>
      </c>
      <c r="AC22" s="12">
        <v>293.42</v>
      </c>
      <c r="AD22" s="12">
        <v>9.1</v>
      </c>
      <c r="AE22" s="12">
        <v>29.69</v>
      </c>
      <c r="AF22" s="12">
        <v>3.83</v>
      </c>
      <c r="AG22" s="12" t="s">
        <v>68</v>
      </c>
      <c r="AH22" s="12">
        <v>2.1800000000000002</v>
      </c>
      <c r="AI22" s="12">
        <v>140.04</v>
      </c>
      <c r="AJ22" s="12">
        <v>2.79</v>
      </c>
      <c r="AK22" s="12">
        <v>135.97</v>
      </c>
      <c r="AL22" s="12">
        <v>2.42</v>
      </c>
      <c r="AM22" s="12">
        <v>282.32</v>
      </c>
      <c r="AN22" s="12">
        <v>3.4</v>
      </c>
      <c r="AO22" s="12">
        <v>13.73</v>
      </c>
      <c r="AP22" s="12">
        <v>1.76</v>
      </c>
      <c r="AQ22" s="12" t="s">
        <v>68</v>
      </c>
      <c r="AR22" s="12">
        <v>4.6100000000000003</v>
      </c>
      <c r="AS22" s="12" t="s">
        <v>68</v>
      </c>
      <c r="AT22" s="12">
        <v>4.41</v>
      </c>
      <c r="AU22" s="12" t="s">
        <v>68</v>
      </c>
      <c r="AV22" s="12">
        <v>6.27</v>
      </c>
      <c r="AW22" s="12" t="s">
        <v>68</v>
      </c>
      <c r="AX22" s="12">
        <v>4.71</v>
      </c>
      <c r="AY22" s="12" t="s">
        <v>68</v>
      </c>
      <c r="AZ22" s="12">
        <v>7.17</v>
      </c>
      <c r="BA22" s="12" t="s">
        <v>68</v>
      </c>
      <c r="BB22" s="12">
        <v>14.45</v>
      </c>
      <c r="BC22" s="12">
        <v>6.59</v>
      </c>
      <c r="BD22" s="12">
        <v>3.17</v>
      </c>
      <c r="BE22" s="12">
        <v>212.36</v>
      </c>
      <c r="BF22" s="12">
        <v>15.15</v>
      </c>
      <c r="BG22" s="12" t="s">
        <v>68</v>
      </c>
      <c r="BH22" s="12">
        <v>22.92</v>
      </c>
      <c r="BI22" s="12" t="s">
        <v>68</v>
      </c>
      <c r="BJ22" s="12">
        <v>3.35</v>
      </c>
      <c r="BK22" s="12" t="s">
        <v>68</v>
      </c>
      <c r="BL22" s="12">
        <v>5.13</v>
      </c>
      <c r="BM22" s="12">
        <v>80.069999999999993</v>
      </c>
      <c r="BN22" s="12">
        <v>4.32</v>
      </c>
      <c r="BO22" s="12">
        <v>14.33</v>
      </c>
      <c r="BP22" s="12">
        <v>2.16</v>
      </c>
      <c r="BQ22" s="12" t="s">
        <v>68</v>
      </c>
      <c r="BR22" s="12">
        <v>4.76</v>
      </c>
    </row>
    <row r="23" spans="1:70" ht="15.75" customHeight="1">
      <c r="A23" s="11">
        <v>21</v>
      </c>
      <c r="B23" s="11">
        <f t="shared" si="0"/>
        <v>1602.9083166332666</v>
      </c>
      <c r="C23" s="12">
        <v>20963.38</v>
      </c>
      <c r="D23" s="12">
        <v>197.9</v>
      </c>
      <c r="E23" s="12" t="s">
        <v>68</v>
      </c>
      <c r="F23" s="12">
        <v>432.34</v>
      </c>
      <c r="G23" s="12">
        <v>13043.01</v>
      </c>
      <c r="H23" s="12">
        <v>385.12</v>
      </c>
      <c r="I23" s="12">
        <v>2476.38</v>
      </c>
      <c r="J23" s="12">
        <v>119.11</v>
      </c>
      <c r="K23" s="12" t="s">
        <v>68</v>
      </c>
      <c r="L23" s="12">
        <v>19.920000000000002</v>
      </c>
      <c r="M23" s="12">
        <v>5139.2299999999996</v>
      </c>
      <c r="N23" s="12">
        <v>62</v>
      </c>
      <c r="O23" s="12">
        <v>148.16</v>
      </c>
      <c r="P23" s="12">
        <v>16.03</v>
      </c>
      <c r="Q23" s="12">
        <v>63.31</v>
      </c>
      <c r="R23" s="12">
        <v>8.1</v>
      </c>
      <c r="S23" s="12">
        <v>72.290000000000006</v>
      </c>
      <c r="T23" s="12">
        <v>24.4</v>
      </c>
      <c r="U23" s="12">
        <v>25231.85</v>
      </c>
      <c r="V23" s="12">
        <v>142.5</v>
      </c>
      <c r="W23" s="12" t="s">
        <v>68</v>
      </c>
      <c r="X23" s="12">
        <v>77.78</v>
      </c>
      <c r="Y23" s="12">
        <v>36.33</v>
      </c>
      <c r="Z23" s="12">
        <v>12.61</v>
      </c>
      <c r="AA23" s="12">
        <v>30.61</v>
      </c>
      <c r="AB23" s="12">
        <v>7.73</v>
      </c>
      <c r="AC23" s="12">
        <v>278.52999999999997</v>
      </c>
      <c r="AD23" s="12">
        <v>8.83</v>
      </c>
      <c r="AE23" s="12">
        <v>23.28</v>
      </c>
      <c r="AF23" s="12">
        <v>3.73</v>
      </c>
      <c r="AG23" s="12" t="s">
        <v>68</v>
      </c>
      <c r="AH23" s="12">
        <v>2.15</v>
      </c>
      <c r="AI23" s="12">
        <v>137.51</v>
      </c>
      <c r="AJ23" s="12">
        <v>2.74</v>
      </c>
      <c r="AK23" s="12">
        <v>132.47999999999999</v>
      </c>
      <c r="AL23" s="12">
        <v>2.37</v>
      </c>
      <c r="AM23" s="12">
        <v>303.36</v>
      </c>
      <c r="AN23" s="12">
        <v>3.47</v>
      </c>
      <c r="AO23" s="12">
        <v>10.29</v>
      </c>
      <c r="AP23" s="12">
        <v>1.73</v>
      </c>
      <c r="AQ23" s="12" t="s">
        <v>68</v>
      </c>
      <c r="AR23" s="12">
        <v>4.72</v>
      </c>
      <c r="AS23" s="12">
        <v>4.71</v>
      </c>
      <c r="AT23" s="12">
        <v>2.95</v>
      </c>
      <c r="AU23" s="12" t="s">
        <v>68</v>
      </c>
      <c r="AV23" s="12">
        <v>6.32</v>
      </c>
      <c r="AW23" s="12">
        <v>5.52</v>
      </c>
      <c r="AX23" s="12">
        <v>3.15</v>
      </c>
      <c r="AY23" s="12" t="s">
        <v>68</v>
      </c>
      <c r="AZ23" s="12">
        <v>7.19</v>
      </c>
      <c r="BA23" s="12">
        <v>19.16</v>
      </c>
      <c r="BB23" s="12">
        <v>9.7100000000000009</v>
      </c>
      <c r="BC23" s="12">
        <v>11.69</v>
      </c>
      <c r="BD23" s="12">
        <v>3.18</v>
      </c>
      <c r="BE23" s="12">
        <v>246.9</v>
      </c>
      <c r="BF23" s="12">
        <v>15.27</v>
      </c>
      <c r="BG23" s="12" t="s">
        <v>68</v>
      </c>
      <c r="BH23" s="12">
        <v>22.86</v>
      </c>
      <c r="BI23" s="12" t="s">
        <v>68</v>
      </c>
      <c r="BJ23" s="12">
        <v>3.27</v>
      </c>
      <c r="BK23" s="12" t="s">
        <v>68</v>
      </c>
      <c r="BL23" s="12">
        <v>5.0999999999999996</v>
      </c>
      <c r="BM23" s="12">
        <v>82.11</v>
      </c>
      <c r="BN23" s="12">
        <v>4.33</v>
      </c>
      <c r="BO23" s="12">
        <v>15.64</v>
      </c>
      <c r="BP23" s="12">
        <v>2.17</v>
      </c>
      <c r="BQ23" s="12" t="s">
        <v>68</v>
      </c>
      <c r="BR23" s="12">
        <v>4.62</v>
      </c>
    </row>
    <row r="24" spans="1:70" ht="15.75" customHeight="1">
      <c r="A24" s="11">
        <v>22</v>
      </c>
      <c r="B24" s="11">
        <f t="shared" si="0"/>
        <v>1582.8682364729459</v>
      </c>
      <c r="C24" s="12">
        <v>20034.96</v>
      </c>
      <c r="D24" s="12">
        <v>192.43</v>
      </c>
      <c r="E24" s="12" t="s">
        <v>68</v>
      </c>
      <c r="F24" s="12">
        <v>410.29</v>
      </c>
      <c r="G24" s="12">
        <v>13053.93</v>
      </c>
      <c r="H24" s="12">
        <v>382.83</v>
      </c>
      <c r="I24" s="12">
        <v>2947.21</v>
      </c>
      <c r="J24" s="12">
        <v>118.68</v>
      </c>
      <c r="K24" s="12">
        <v>28.29</v>
      </c>
      <c r="L24" s="12">
        <v>14.01</v>
      </c>
      <c r="M24" s="12">
        <v>5015.2700000000004</v>
      </c>
      <c r="N24" s="12">
        <v>60.54</v>
      </c>
      <c r="O24" s="12">
        <v>123.69</v>
      </c>
      <c r="P24" s="12">
        <v>15.46</v>
      </c>
      <c r="Q24" s="12">
        <v>57.44</v>
      </c>
      <c r="R24" s="12">
        <v>7.93</v>
      </c>
      <c r="S24" s="12">
        <v>128.77000000000001</v>
      </c>
      <c r="T24" s="12">
        <v>25.98</v>
      </c>
      <c r="U24" s="12">
        <v>24960.29</v>
      </c>
      <c r="V24" s="12">
        <v>143.54</v>
      </c>
      <c r="W24" s="12" t="s">
        <v>68</v>
      </c>
      <c r="X24" s="12">
        <v>78.12</v>
      </c>
      <c r="Y24" s="12">
        <v>54.27</v>
      </c>
      <c r="Z24" s="12">
        <v>12.99</v>
      </c>
      <c r="AA24" s="12">
        <v>34.47</v>
      </c>
      <c r="AB24" s="12">
        <v>7.95</v>
      </c>
      <c r="AC24" s="12">
        <v>275.10000000000002</v>
      </c>
      <c r="AD24" s="12">
        <v>8.9</v>
      </c>
      <c r="AE24" s="12">
        <v>24.69</v>
      </c>
      <c r="AF24" s="12">
        <v>3.74</v>
      </c>
      <c r="AG24" s="12" t="s">
        <v>68</v>
      </c>
      <c r="AH24" s="12">
        <v>2.2599999999999998</v>
      </c>
      <c r="AI24" s="12">
        <v>131.22</v>
      </c>
      <c r="AJ24" s="12">
        <v>2.73</v>
      </c>
      <c r="AK24" s="12">
        <v>132.26</v>
      </c>
      <c r="AL24" s="12">
        <v>2.4</v>
      </c>
      <c r="AM24" s="12">
        <v>285.13</v>
      </c>
      <c r="AN24" s="12">
        <v>3.43</v>
      </c>
      <c r="AO24" s="12">
        <v>8.6300000000000008</v>
      </c>
      <c r="AP24" s="12">
        <v>1.73</v>
      </c>
      <c r="AQ24" s="12" t="s">
        <v>68</v>
      </c>
      <c r="AR24" s="12">
        <v>4.7</v>
      </c>
      <c r="AS24" s="12" t="s">
        <v>68</v>
      </c>
      <c r="AT24" s="12">
        <v>4.26</v>
      </c>
      <c r="AU24" s="12" t="s">
        <v>68</v>
      </c>
      <c r="AV24" s="12">
        <v>6.32</v>
      </c>
      <c r="AW24" s="12">
        <v>9.9700000000000006</v>
      </c>
      <c r="AX24" s="12">
        <v>3.18</v>
      </c>
      <c r="AY24" s="12" t="s">
        <v>68</v>
      </c>
      <c r="AZ24" s="12">
        <v>7.21</v>
      </c>
      <c r="BA24" s="12">
        <v>22.03</v>
      </c>
      <c r="BB24" s="12">
        <v>9.73</v>
      </c>
      <c r="BC24" s="12">
        <v>22.18</v>
      </c>
      <c r="BD24" s="12">
        <v>3.21</v>
      </c>
      <c r="BE24" s="12">
        <v>298.19</v>
      </c>
      <c r="BF24" s="12">
        <v>15.5</v>
      </c>
      <c r="BG24" s="12" t="s">
        <v>68</v>
      </c>
      <c r="BH24" s="12">
        <v>23.5</v>
      </c>
      <c r="BI24" s="12" t="s">
        <v>68</v>
      </c>
      <c r="BJ24" s="12">
        <v>3.38</v>
      </c>
      <c r="BK24" s="12" t="s">
        <v>68</v>
      </c>
      <c r="BL24" s="12">
        <v>5.16</v>
      </c>
      <c r="BM24" s="12">
        <v>78.099999999999994</v>
      </c>
      <c r="BN24" s="12">
        <v>4.3</v>
      </c>
      <c r="BO24" s="12">
        <v>14.19</v>
      </c>
      <c r="BP24" s="12">
        <v>2.14</v>
      </c>
      <c r="BQ24" s="12">
        <v>6.35</v>
      </c>
      <c r="BR24" s="12">
        <v>3.16</v>
      </c>
    </row>
    <row r="25" spans="1:70" ht="15.75" customHeight="1">
      <c r="A25" s="11">
        <v>23</v>
      </c>
      <c r="B25" s="11">
        <f t="shared" si="0"/>
        <v>1562.8281563126252</v>
      </c>
      <c r="C25" s="12">
        <v>20718.439999999999</v>
      </c>
      <c r="D25" s="12">
        <v>195.62</v>
      </c>
      <c r="E25" s="12" t="s">
        <v>68</v>
      </c>
      <c r="F25" s="12">
        <v>397</v>
      </c>
      <c r="G25" s="12">
        <v>13219.52</v>
      </c>
      <c r="H25" s="12">
        <v>385.38</v>
      </c>
      <c r="I25" s="12">
        <v>5299.01</v>
      </c>
      <c r="J25" s="12">
        <v>128.94</v>
      </c>
      <c r="K25" s="12">
        <v>34.049999999999997</v>
      </c>
      <c r="L25" s="12">
        <v>16.989999999999998</v>
      </c>
      <c r="M25" s="12">
        <v>5145.78</v>
      </c>
      <c r="N25" s="12">
        <v>61.38</v>
      </c>
      <c r="O25" s="12">
        <v>127.87</v>
      </c>
      <c r="P25" s="12">
        <v>15.67</v>
      </c>
      <c r="Q25" s="12">
        <v>68.099999999999994</v>
      </c>
      <c r="R25" s="12">
        <v>8.06</v>
      </c>
      <c r="S25" s="12">
        <v>127.73</v>
      </c>
      <c r="T25" s="12">
        <v>25.84</v>
      </c>
      <c r="U25" s="12">
        <v>25552.28</v>
      </c>
      <c r="V25" s="12">
        <v>144.76</v>
      </c>
      <c r="W25" s="12">
        <v>84.53</v>
      </c>
      <c r="X25" s="12">
        <v>52.98</v>
      </c>
      <c r="Y25" s="12">
        <v>54.04</v>
      </c>
      <c r="Z25" s="12">
        <v>13.03</v>
      </c>
      <c r="AA25" s="12">
        <v>30.53</v>
      </c>
      <c r="AB25" s="12">
        <v>7.86</v>
      </c>
      <c r="AC25" s="12">
        <v>275.13</v>
      </c>
      <c r="AD25" s="12">
        <v>8.8699999999999992</v>
      </c>
      <c r="AE25" s="12">
        <v>21.63</v>
      </c>
      <c r="AF25" s="12">
        <v>3.78</v>
      </c>
      <c r="AG25" s="12" t="s">
        <v>68</v>
      </c>
      <c r="AH25" s="12">
        <v>2.25</v>
      </c>
      <c r="AI25" s="12">
        <v>134.94999999999999</v>
      </c>
      <c r="AJ25" s="12">
        <v>2.75</v>
      </c>
      <c r="AK25" s="12">
        <v>137.27000000000001</v>
      </c>
      <c r="AL25" s="12">
        <v>2.4300000000000002</v>
      </c>
      <c r="AM25" s="12">
        <v>310.47000000000003</v>
      </c>
      <c r="AN25" s="12">
        <v>3.55</v>
      </c>
      <c r="AO25" s="12">
        <v>8.1</v>
      </c>
      <c r="AP25" s="12">
        <v>1.73</v>
      </c>
      <c r="AQ25" s="12" t="s">
        <v>68</v>
      </c>
      <c r="AR25" s="12">
        <v>4.67</v>
      </c>
      <c r="AS25" s="12" t="s">
        <v>68</v>
      </c>
      <c r="AT25" s="12">
        <v>4.38</v>
      </c>
      <c r="AU25" s="12" t="s">
        <v>68</v>
      </c>
      <c r="AV25" s="12">
        <v>6.29</v>
      </c>
      <c r="AW25" s="12">
        <v>7.55</v>
      </c>
      <c r="AX25" s="12">
        <v>3.16</v>
      </c>
      <c r="AY25" s="12" t="s">
        <v>68</v>
      </c>
      <c r="AZ25" s="12">
        <v>7.14</v>
      </c>
      <c r="BA25" s="12" t="s">
        <v>68</v>
      </c>
      <c r="BB25" s="12">
        <v>14.46</v>
      </c>
      <c r="BC25" s="12">
        <v>13.69</v>
      </c>
      <c r="BD25" s="12">
        <v>3.18</v>
      </c>
      <c r="BE25" s="12">
        <v>251.22</v>
      </c>
      <c r="BF25" s="12">
        <v>15.25</v>
      </c>
      <c r="BG25" s="12" t="s">
        <v>68</v>
      </c>
      <c r="BH25" s="12">
        <v>23.26</v>
      </c>
      <c r="BI25" s="12" t="s">
        <v>68</v>
      </c>
      <c r="BJ25" s="12">
        <v>3.44</v>
      </c>
      <c r="BK25" s="12">
        <v>5.87</v>
      </c>
      <c r="BL25" s="12">
        <v>3.5</v>
      </c>
      <c r="BM25" s="12">
        <v>84.54</v>
      </c>
      <c r="BN25" s="12">
        <v>4.43</v>
      </c>
      <c r="BO25" s="12">
        <v>16.899999999999999</v>
      </c>
      <c r="BP25" s="12">
        <v>2.2200000000000002</v>
      </c>
      <c r="BQ25" s="12" t="s">
        <v>68</v>
      </c>
      <c r="BR25" s="12">
        <v>4.67</v>
      </c>
    </row>
    <row r="26" spans="1:70" ht="15.75" customHeight="1">
      <c r="A26" s="11">
        <v>24</v>
      </c>
      <c r="B26" s="11">
        <f t="shared" si="0"/>
        <v>1542.7880761523047</v>
      </c>
      <c r="C26" s="12">
        <v>21727.73</v>
      </c>
      <c r="D26" s="12">
        <v>194.61</v>
      </c>
      <c r="E26" s="12" t="s">
        <v>68</v>
      </c>
      <c r="F26" s="12">
        <v>395.62</v>
      </c>
      <c r="G26" s="12">
        <v>10607.14</v>
      </c>
      <c r="H26" s="12">
        <v>338.19</v>
      </c>
      <c r="I26" s="12">
        <v>7294.52</v>
      </c>
      <c r="J26" s="12">
        <v>127.76</v>
      </c>
      <c r="K26" s="12" t="s">
        <v>68</v>
      </c>
      <c r="L26" s="12">
        <v>26.35</v>
      </c>
      <c r="M26" s="12">
        <v>5020.72</v>
      </c>
      <c r="N26" s="12">
        <v>58.66</v>
      </c>
      <c r="O26" s="12">
        <v>136.63999999999999</v>
      </c>
      <c r="P26" s="12">
        <v>15.05</v>
      </c>
      <c r="Q26" s="12">
        <v>60.61</v>
      </c>
      <c r="R26" s="12">
        <v>7.69</v>
      </c>
      <c r="S26" s="12">
        <v>91.91</v>
      </c>
      <c r="T26" s="12">
        <v>24.93</v>
      </c>
      <c r="U26" s="12">
        <v>23257.91</v>
      </c>
      <c r="V26" s="12">
        <v>137.94</v>
      </c>
      <c r="W26" s="12" t="s">
        <v>68</v>
      </c>
      <c r="X26" s="12">
        <v>75.17</v>
      </c>
      <c r="Y26" s="12">
        <v>50.09</v>
      </c>
      <c r="Z26" s="12">
        <v>12.86</v>
      </c>
      <c r="AA26" s="12">
        <v>34.64</v>
      </c>
      <c r="AB26" s="12">
        <v>7.9</v>
      </c>
      <c r="AC26" s="12">
        <v>213.55</v>
      </c>
      <c r="AD26" s="12">
        <v>7.96</v>
      </c>
      <c r="AE26" s="12">
        <v>20.079999999999998</v>
      </c>
      <c r="AF26" s="12">
        <v>4.32</v>
      </c>
      <c r="AG26" s="12" t="s">
        <v>68</v>
      </c>
      <c r="AH26" s="12">
        <v>2.2200000000000002</v>
      </c>
      <c r="AI26" s="12">
        <v>149.55000000000001</v>
      </c>
      <c r="AJ26" s="12">
        <v>2.88</v>
      </c>
      <c r="AK26" s="12">
        <v>168.66</v>
      </c>
      <c r="AL26" s="12">
        <v>2.67</v>
      </c>
      <c r="AM26" s="12">
        <v>275.45</v>
      </c>
      <c r="AN26" s="12">
        <v>3.39</v>
      </c>
      <c r="AO26" s="12">
        <v>8.7200000000000006</v>
      </c>
      <c r="AP26" s="12">
        <v>1.72</v>
      </c>
      <c r="AQ26" s="12" t="s">
        <v>68</v>
      </c>
      <c r="AR26" s="12">
        <v>4.6500000000000004</v>
      </c>
      <c r="AS26" s="12" t="s">
        <v>68</v>
      </c>
      <c r="AT26" s="12">
        <v>4.37</v>
      </c>
      <c r="AU26" s="12" t="s">
        <v>68</v>
      </c>
      <c r="AV26" s="12">
        <v>6.28</v>
      </c>
      <c r="AW26" s="12">
        <v>7.9</v>
      </c>
      <c r="AX26" s="12">
        <v>3.16</v>
      </c>
      <c r="AY26" s="12" t="s">
        <v>68</v>
      </c>
      <c r="AZ26" s="12">
        <v>7.18</v>
      </c>
      <c r="BA26" s="12">
        <v>19.22</v>
      </c>
      <c r="BB26" s="12">
        <v>9.69</v>
      </c>
      <c r="BC26" s="12">
        <v>17.38</v>
      </c>
      <c r="BD26" s="12">
        <v>3.19</v>
      </c>
      <c r="BE26" s="12">
        <v>278.45999999999998</v>
      </c>
      <c r="BF26" s="12">
        <v>15.39</v>
      </c>
      <c r="BG26" s="12" t="s">
        <v>68</v>
      </c>
      <c r="BH26" s="12">
        <v>22.42</v>
      </c>
      <c r="BI26" s="12" t="s">
        <v>68</v>
      </c>
      <c r="BJ26" s="12">
        <v>3.39</v>
      </c>
      <c r="BK26" s="12" t="s">
        <v>68</v>
      </c>
      <c r="BL26" s="12">
        <v>5.01</v>
      </c>
      <c r="BM26" s="12">
        <v>125.72</v>
      </c>
      <c r="BN26" s="12">
        <v>5.21</v>
      </c>
      <c r="BO26" s="12">
        <v>13.69</v>
      </c>
      <c r="BP26" s="12">
        <v>2.23</v>
      </c>
      <c r="BQ26" s="12" t="s">
        <v>68</v>
      </c>
      <c r="BR26" s="12">
        <v>4.91</v>
      </c>
    </row>
    <row r="27" spans="1:70" ht="15.75" customHeight="1">
      <c r="A27" s="11">
        <v>25</v>
      </c>
      <c r="B27" s="11">
        <f t="shared" si="0"/>
        <v>1522.747995991984</v>
      </c>
      <c r="C27" s="12">
        <v>24094.18</v>
      </c>
      <c r="D27" s="12">
        <v>207.76</v>
      </c>
      <c r="E27" s="12" t="s">
        <v>68</v>
      </c>
      <c r="F27" s="12">
        <v>425.43</v>
      </c>
      <c r="G27" s="12">
        <v>8850.77</v>
      </c>
      <c r="H27" s="12">
        <v>316.5</v>
      </c>
      <c r="I27" s="12">
        <v>1693.8</v>
      </c>
      <c r="J27" s="12">
        <v>112.99</v>
      </c>
      <c r="K27" s="12" t="s">
        <v>68</v>
      </c>
      <c r="L27" s="12">
        <v>17.63</v>
      </c>
      <c r="M27" s="12">
        <v>5486.43</v>
      </c>
      <c r="N27" s="12">
        <v>62.53</v>
      </c>
      <c r="O27" s="12">
        <v>139.52000000000001</v>
      </c>
      <c r="P27" s="12">
        <v>15.99</v>
      </c>
      <c r="Q27" s="12">
        <v>79.319999999999993</v>
      </c>
      <c r="R27" s="12">
        <v>8.16</v>
      </c>
      <c r="S27" s="12">
        <v>84.12</v>
      </c>
      <c r="T27" s="12">
        <v>24.66</v>
      </c>
      <c r="U27" s="12">
        <v>22930.34</v>
      </c>
      <c r="V27" s="12">
        <v>136.82</v>
      </c>
      <c r="W27" s="12" t="s">
        <v>68</v>
      </c>
      <c r="X27" s="12">
        <v>74.86</v>
      </c>
      <c r="Y27" s="12">
        <v>30.3</v>
      </c>
      <c r="Z27" s="12">
        <v>12.59</v>
      </c>
      <c r="AA27" s="12">
        <v>31.19</v>
      </c>
      <c r="AB27" s="12">
        <v>7.78</v>
      </c>
      <c r="AC27" s="12">
        <v>173.65</v>
      </c>
      <c r="AD27" s="12">
        <v>7.34</v>
      </c>
      <c r="AE27" s="12">
        <v>18.100000000000001</v>
      </c>
      <c r="AF27" s="12">
        <v>4.42</v>
      </c>
      <c r="AG27" s="12" t="s">
        <v>68</v>
      </c>
      <c r="AH27" s="12">
        <v>2.21</v>
      </c>
      <c r="AI27" s="12">
        <v>156.21</v>
      </c>
      <c r="AJ27" s="12">
        <v>2.93</v>
      </c>
      <c r="AK27" s="12">
        <v>179.18</v>
      </c>
      <c r="AL27" s="12">
        <v>2.75</v>
      </c>
      <c r="AM27" s="12">
        <v>268.14</v>
      </c>
      <c r="AN27" s="12">
        <v>3.36</v>
      </c>
      <c r="AO27" s="12">
        <v>10</v>
      </c>
      <c r="AP27" s="12">
        <v>1.72</v>
      </c>
      <c r="AQ27" s="12" t="s">
        <v>68</v>
      </c>
      <c r="AR27" s="12">
        <v>4.47</v>
      </c>
      <c r="AS27" s="12" t="s">
        <v>68</v>
      </c>
      <c r="AT27" s="12">
        <v>4.26</v>
      </c>
      <c r="AU27" s="12" t="s">
        <v>68</v>
      </c>
      <c r="AV27" s="12">
        <v>6.1</v>
      </c>
      <c r="AW27" s="12">
        <v>5.26</v>
      </c>
      <c r="AX27" s="12">
        <v>3.08</v>
      </c>
      <c r="AY27" s="12" t="s">
        <v>68</v>
      </c>
      <c r="AZ27" s="12">
        <v>7</v>
      </c>
      <c r="BA27" s="12" t="s">
        <v>68</v>
      </c>
      <c r="BB27" s="12">
        <v>14.17</v>
      </c>
      <c r="BC27" s="12">
        <v>5.55</v>
      </c>
      <c r="BD27" s="12">
        <v>3.09</v>
      </c>
      <c r="BE27" s="12">
        <v>230.8</v>
      </c>
      <c r="BF27" s="12">
        <v>14.9</v>
      </c>
      <c r="BG27" s="12" t="s">
        <v>68</v>
      </c>
      <c r="BH27" s="12">
        <v>22.87</v>
      </c>
      <c r="BI27" s="12" t="s">
        <v>68</v>
      </c>
      <c r="BJ27" s="12">
        <v>3.32</v>
      </c>
      <c r="BK27" s="12" t="s">
        <v>68</v>
      </c>
      <c r="BL27" s="12">
        <v>5.1100000000000003</v>
      </c>
      <c r="BM27" s="12">
        <v>135.31</v>
      </c>
      <c r="BN27" s="12">
        <v>5.38</v>
      </c>
      <c r="BO27" s="12">
        <v>15.76</v>
      </c>
      <c r="BP27" s="12">
        <v>2.2999999999999998</v>
      </c>
      <c r="BQ27" s="12" t="s">
        <v>68</v>
      </c>
      <c r="BR27" s="12">
        <v>4.95</v>
      </c>
    </row>
    <row r="28" spans="1:70" ht="15.75" customHeight="1">
      <c r="A28" s="11">
        <v>26</v>
      </c>
      <c r="B28" s="11">
        <f t="shared" si="0"/>
        <v>1502.7079158316633</v>
      </c>
      <c r="C28" s="12">
        <v>23920.959999999999</v>
      </c>
      <c r="D28" s="12">
        <v>205.21</v>
      </c>
      <c r="E28" s="12" t="s">
        <v>68</v>
      </c>
      <c r="F28" s="12">
        <v>374.82</v>
      </c>
      <c r="G28" s="12">
        <v>10433</v>
      </c>
      <c r="H28" s="12">
        <v>338.04</v>
      </c>
      <c r="I28" s="12">
        <v>1692.57</v>
      </c>
      <c r="J28" s="12">
        <v>110.2</v>
      </c>
      <c r="K28" s="12">
        <v>20.85</v>
      </c>
      <c r="L28" s="12">
        <v>11.55</v>
      </c>
      <c r="M28" s="12">
        <v>5360.48</v>
      </c>
      <c r="N28" s="12">
        <v>61.63</v>
      </c>
      <c r="O28" s="12">
        <v>146.5</v>
      </c>
      <c r="P28" s="12">
        <v>15.87</v>
      </c>
      <c r="Q28" s="12">
        <v>63.07</v>
      </c>
      <c r="R28" s="12">
        <v>7.95</v>
      </c>
      <c r="S28" s="12">
        <v>72.27</v>
      </c>
      <c r="T28" s="12">
        <v>24.31</v>
      </c>
      <c r="U28" s="12">
        <v>24336.69</v>
      </c>
      <c r="V28" s="12">
        <v>140.22999999999999</v>
      </c>
      <c r="W28" s="12" t="s">
        <v>68</v>
      </c>
      <c r="X28" s="12">
        <v>76.510000000000005</v>
      </c>
      <c r="Y28" s="12">
        <v>43.3</v>
      </c>
      <c r="Z28" s="12">
        <v>12.73</v>
      </c>
      <c r="AA28" s="12">
        <v>27.78</v>
      </c>
      <c r="AB28" s="12">
        <v>7.71</v>
      </c>
      <c r="AC28" s="12">
        <v>169.13</v>
      </c>
      <c r="AD28" s="12">
        <v>7.23</v>
      </c>
      <c r="AE28" s="12">
        <v>22.71</v>
      </c>
      <c r="AF28" s="12">
        <v>4.5</v>
      </c>
      <c r="AG28" s="12" t="s">
        <v>68</v>
      </c>
      <c r="AH28" s="12">
        <v>2.2400000000000002</v>
      </c>
      <c r="AI28" s="12">
        <v>155.01</v>
      </c>
      <c r="AJ28" s="12">
        <v>2.92</v>
      </c>
      <c r="AK28" s="12">
        <v>176.15</v>
      </c>
      <c r="AL28" s="12">
        <v>2.71</v>
      </c>
      <c r="AM28" s="12">
        <v>243.6</v>
      </c>
      <c r="AN28" s="12">
        <v>3.22</v>
      </c>
      <c r="AO28" s="12">
        <v>9.56</v>
      </c>
      <c r="AP28" s="12">
        <v>1.69</v>
      </c>
      <c r="AQ28" s="12" t="s">
        <v>68</v>
      </c>
      <c r="AR28" s="12">
        <v>4.6100000000000003</v>
      </c>
      <c r="AS28" s="12" t="s">
        <v>68</v>
      </c>
      <c r="AT28" s="12">
        <v>4.3</v>
      </c>
      <c r="AU28" s="12" t="s">
        <v>68</v>
      </c>
      <c r="AV28" s="12">
        <v>6.18</v>
      </c>
      <c r="AW28" s="12">
        <v>9.17</v>
      </c>
      <c r="AX28" s="12">
        <v>3.14</v>
      </c>
      <c r="AY28" s="12" t="s">
        <v>68</v>
      </c>
      <c r="AZ28" s="12">
        <v>7.04</v>
      </c>
      <c r="BA28" s="12" t="s">
        <v>68</v>
      </c>
      <c r="BB28" s="12">
        <v>14.33</v>
      </c>
      <c r="BC28" s="12">
        <v>10.220000000000001</v>
      </c>
      <c r="BD28" s="12">
        <v>3.14</v>
      </c>
      <c r="BE28" s="12">
        <v>237.93</v>
      </c>
      <c r="BF28" s="12">
        <v>15.07</v>
      </c>
      <c r="BG28" s="12" t="s">
        <v>68</v>
      </c>
      <c r="BH28" s="12">
        <v>22.72</v>
      </c>
      <c r="BI28" s="12">
        <v>3.73</v>
      </c>
      <c r="BJ28" s="12">
        <v>2.3199999999999998</v>
      </c>
      <c r="BK28" s="12" t="s">
        <v>68</v>
      </c>
      <c r="BL28" s="12">
        <v>5.01</v>
      </c>
      <c r="BM28" s="12">
        <v>139.52000000000001</v>
      </c>
      <c r="BN28" s="12">
        <v>5.43</v>
      </c>
      <c r="BO28" s="12">
        <v>16.03</v>
      </c>
      <c r="BP28" s="12">
        <v>2.2999999999999998</v>
      </c>
      <c r="BQ28" s="12">
        <v>5.19</v>
      </c>
      <c r="BR28" s="12">
        <v>3.3</v>
      </c>
    </row>
    <row r="29" spans="1:70" ht="15.75" customHeight="1">
      <c r="A29" s="11">
        <v>27</v>
      </c>
      <c r="B29" s="11">
        <f t="shared" si="0"/>
        <v>1482.6678356713428</v>
      </c>
      <c r="C29" s="12">
        <v>24381.31</v>
      </c>
      <c r="D29" s="12">
        <v>203.11</v>
      </c>
      <c r="E29" s="12" t="s">
        <v>68</v>
      </c>
      <c r="F29" s="12">
        <v>387.31</v>
      </c>
      <c r="G29" s="12">
        <v>8433.2199999999993</v>
      </c>
      <c r="H29" s="12">
        <v>300.61</v>
      </c>
      <c r="I29" s="12">
        <v>1418.72</v>
      </c>
      <c r="J29" s="12">
        <v>107.83</v>
      </c>
      <c r="K29" s="12">
        <v>23.63</v>
      </c>
      <c r="L29" s="12">
        <v>10.99</v>
      </c>
      <c r="M29" s="12">
        <v>5454.56</v>
      </c>
      <c r="N29" s="12">
        <v>60.35</v>
      </c>
      <c r="O29" s="12">
        <v>142.99</v>
      </c>
      <c r="P29" s="12">
        <v>15.44</v>
      </c>
      <c r="Q29" s="12">
        <v>76.7</v>
      </c>
      <c r="R29" s="12">
        <v>7.87</v>
      </c>
      <c r="S29" s="12">
        <v>72.36</v>
      </c>
      <c r="T29" s="12">
        <v>23.78</v>
      </c>
      <c r="U29" s="12">
        <v>21032.58</v>
      </c>
      <c r="V29" s="12">
        <v>128.9</v>
      </c>
      <c r="W29" s="12" t="s">
        <v>68</v>
      </c>
      <c r="X29" s="12">
        <v>70.22</v>
      </c>
      <c r="Y29" s="12">
        <v>31.04</v>
      </c>
      <c r="Z29" s="12">
        <v>12.3</v>
      </c>
      <c r="AA29" s="12">
        <v>29.44</v>
      </c>
      <c r="AB29" s="12">
        <v>7.6</v>
      </c>
      <c r="AC29" s="12">
        <v>140.9</v>
      </c>
      <c r="AD29" s="12">
        <v>6.66</v>
      </c>
      <c r="AE29" s="12">
        <v>21.97</v>
      </c>
      <c r="AF29" s="12">
        <v>4.1500000000000004</v>
      </c>
      <c r="AG29" s="12" t="s">
        <v>68</v>
      </c>
      <c r="AH29" s="12">
        <v>2.19</v>
      </c>
      <c r="AI29" s="12">
        <v>159.38999999999999</v>
      </c>
      <c r="AJ29" s="12">
        <v>2.91</v>
      </c>
      <c r="AK29" s="12">
        <v>165.71</v>
      </c>
      <c r="AL29" s="12">
        <v>2.6</v>
      </c>
      <c r="AM29" s="12">
        <v>251.91</v>
      </c>
      <c r="AN29" s="12">
        <v>3.21</v>
      </c>
      <c r="AO29" s="12">
        <v>9.3000000000000007</v>
      </c>
      <c r="AP29" s="12">
        <v>1.68</v>
      </c>
      <c r="AQ29" s="12" t="s">
        <v>68</v>
      </c>
      <c r="AR29" s="12">
        <v>4.5199999999999996</v>
      </c>
      <c r="AS29" s="12" t="s">
        <v>68</v>
      </c>
      <c r="AT29" s="12">
        <v>4.21</v>
      </c>
      <c r="AU29" s="12" t="s">
        <v>68</v>
      </c>
      <c r="AV29" s="12">
        <v>6.07</v>
      </c>
      <c r="AW29" s="12" t="s">
        <v>68</v>
      </c>
      <c r="AX29" s="12">
        <v>4.58</v>
      </c>
      <c r="AY29" s="12" t="s">
        <v>68</v>
      </c>
      <c r="AZ29" s="12">
        <v>6.89</v>
      </c>
      <c r="BA29" s="12" t="s">
        <v>68</v>
      </c>
      <c r="BB29" s="12">
        <v>13.85</v>
      </c>
      <c r="BC29" s="12" t="s">
        <v>68</v>
      </c>
      <c r="BD29" s="12">
        <v>4.5999999999999996</v>
      </c>
      <c r="BE29" s="12">
        <v>211.71</v>
      </c>
      <c r="BF29" s="12">
        <v>14.73</v>
      </c>
      <c r="BG29" s="12" t="s">
        <v>68</v>
      </c>
      <c r="BH29" s="12">
        <v>22.28</v>
      </c>
      <c r="BI29" s="12" t="s">
        <v>68</v>
      </c>
      <c r="BJ29" s="12">
        <v>3.25</v>
      </c>
      <c r="BK29" s="12">
        <v>5.67</v>
      </c>
      <c r="BL29" s="12">
        <v>3.38</v>
      </c>
      <c r="BM29" s="12">
        <v>116.39</v>
      </c>
      <c r="BN29" s="12">
        <v>4.96</v>
      </c>
      <c r="BO29" s="12">
        <v>16.579999999999998</v>
      </c>
      <c r="BP29" s="12">
        <v>2.2400000000000002</v>
      </c>
      <c r="BQ29" s="12" t="s">
        <v>68</v>
      </c>
      <c r="BR29" s="12">
        <v>4.91</v>
      </c>
    </row>
    <row r="30" spans="1:70" ht="15.75" customHeight="1">
      <c r="A30" s="11">
        <v>28</v>
      </c>
      <c r="B30" s="11">
        <f t="shared" si="0"/>
        <v>1462.6277555110221</v>
      </c>
      <c r="C30" s="12">
        <v>23044.799999999999</v>
      </c>
      <c r="D30" s="12">
        <v>198.1</v>
      </c>
      <c r="E30" s="12" t="s">
        <v>68</v>
      </c>
      <c r="F30" s="12">
        <v>371.59</v>
      </c>
      <c r="G30" s="12">
        <v>9588.59</v>
      </c>
      <c r="H30" s="12">
        <v>319.11</v>
      </c>
      <c r="I30" s="12">
        <v>944.11</v>
      </c>
      <c r="J30" s="12">
        <v>107.99</v>
      </c>
      <c r="K30" s="12" t="s">
        <v>68</v>
      </c>
      <c r="L30" s="12">
        <v>15.55</v>
      </c>
      <c r="M30" s="12">
        <v>5493.75</v>
      </c>
      <c r="N30" s="12">
        <v>60.56</v>
      </c>
      <c r="O30" s="12">
        <v>146.28</v>
      </c>
      <c r="P30" s="12">
        <v>15.49</v>
      </c>
      <c r="Q30" s="12">
        <v>61.51</v>
      </c>
      <c r="R30" s="12">
        <v>7.73</v>
      </c>
      <c r="S30" s="12">
        <v>83.84</v>
      </c>
      <c r="T30" s="12">
        <v>24.62</v>
      </c>
      <c r="U30" s="12">
        <v>20528.18</v>
      </c>
      <c r="V30" s="12">
        <v>129.52000000000001</v>
      </c>
      <c r="W30" s="12" t="s">
        <v>68</v>
      </c>
      <c r="X30" s="12">
        <v>70.73</v>
      </c>
      <c r="Y30" s="12">
        <v>47.46</v>
      </c>
      <c r="Z30" s="12">
        <v>12.66</v>
      </c>
      <c r="AA30" s="12">
        <v>30.07</v>
      </c>
      <c r="AB30" s="12">
        <v>7.72</v>
      </c>
      <c r="AC30" s="12">
        <v>125.62</v>
      </c>
      <c r="AD30" s="12">
        <v>6.5</v>
      </c>
      <c r="AE30" s="12">
        <v>18.5</v>
      </c>
      <c r="AF30" s="12">
        <v>4.1900000000000004</v>
      </c>
      <c r="AG30" s="12" t="s">
        <v>68</v>
      </c>
      <c r="AH30" s="12">
        <v>2.21</v>
      </c>
      <c r="AI30" s="12">
        <v>150.80000000000001</v>
      </c>
      <c r="AJ30" s="12">
        <v>2.89</v>
      </c>
      <c r="AK30" s="12">
        <v>157.78</v>
      </c>
      <c r="AL30" s="12">
        <v>2.59</v>
      </c>
      <c r="AM30" s="12">
        <v>256.95</v>
      </c>
      <c r="AN30" s="12">
        <v>3.29</v>
      </c>
      <c r="AO30" s="12">
        <v>6.51</v>
      </c>
      <c r="AP30" s="12">
        <v>1.68</v>
      </c>
      <c r="AQ30" s="12" t="s">
        <v>68</v>
      </c>
      <c r="AR30" s="12">
        <v>4.57</v>
      </c>
      <c r="AS30" s="12">
        <v>5.66</v>
      </c>
      <c r="AT30" s="12">
        <v>2.89</v>
      </c>
      <c r="AU30" s="12" t="s">
        <v>68</v>
      </c>
      <c r="AV30" s="12">
        <v>6.15</v>
      </c>
      <c r="AW30" s="12">
        <v>9.5399999999999991</v>
      </c>
      <c r="AX30" s="12">
        <v>3.11</v>
      </c>
      <c r="AY30" s="12">
        <v>7.6</v>
      </c>
      <c r="AZ30" s="12">
        <v>4.7</v>
      </c>
      <c r="BA30" s="12">
        <v>29.81</v>
      </c>
      <c r="BB30" s="12">
        <v>9.5399999999999991</v>
      </c>
      <c r="BC30" s="12">
        <v>18.13</v>
      </c>
      <c r="BD30" s="12">
        <v>3.12</v>
      </c>
      <c r="BE30" s="12">
        <v>290.58999999999997</v>
      </c>
      <c r="BF30" s="12">
        <v>15.08</v>
      </c>
      <c r="BG30" s="12" t="s">
        <v>68</v>
      </c>
      <c r="BH30" s="12">
        <v>22.72</v>
      </c>
      <c r="BI30" s="12" t="s">
        <v>68</v>
      </c>
      <c r="BJ30" s="12">
        <v>3.28</v>
      </c>
      <c r="BK30" s="12" t="s">
        <v>68</v>
      </c>
      <c r="BL30" s="12">
        <v>5.13</v>
      </c>
      <c r="BM30" s="12">
        <v>117.71</v>
      </c>
      <c r="BN30" s="12">
        <v>5.0599999999999996</v>
      </c>
      <c r="BO30" s="12">
        <v>15.96</v>
      </c>
      <c r="BP30" s="12">
        <v>2.2599999999999998</v>
      </c>
      <c r="BQ30" s="12">
        <v>6.16</v>
      </c>
      <c r="BR30" s="12">
        <v>3.29</v>
      </c>
    </row>
    <row r="31" spans="1:70" ht="15.75" customHeight="1">
      <c r="A31" s="11">
        <v>29</v>
      </c>
      <c r="B31" s="11">
        <f t="shared" si="0"/>
        <v>1442.5876753507014</v>
      </c>
      <c r="C31" s="12">
        <v>22189.87</v>
      </c>
      <c r="D31" s="12">
        <v>197.04</v>
      </c>
      <c r="E31" s="12" t="s">
        <v>68</v>
      </c>
      <c r="F31" s="12">
        <v>403.74</v>
      </c>
      <c r="G31" s="12">
        <v>14228.7</v>
      </c>
      <c r="H31" s="12">
        <v>388.17</v>
      </c>
      <c r="I31" s="12">
        <v>1124.79</v>
      </c>
      <c r="J31" s="12">
        <v>109.88</v>
      </c>
      <c r="K31" s="12" t="s">
        <v>68</v>
      </c>
      <c r="L31" s="12">
        <v>16.309999999999999</v>
      </c>
      <c r="M31" s="12">
        <v>5235.9399999999996</v>
      </c>
      <c r="N31" s="12">
        <v>60.08</v>
      </c>
      <c r="O31" s="12">
        <v>136.88</v>
      </c>
      <c r="P31" s="12">
        <v>15.39</v>
      </c>
      <c r="Q31" s="12">
        <v>71.239999999999995</v>
      </c>
      <c r="R31" s="12">
        <v>7.93</v>
      </c>
      <c r="S31" s="12">
        <v>82.68</v>
      </c>
      <c r="T31" s="12">
        <v>24.81</v>
      </c>
      <c r="U31" s="12">
        <v>24056.34</v>
      </c>
      <c r="V31" s="12">
        <v>140.72</v>
      </c>
      <c r="W31" s="12" t="s">
        <v>68</v>
      </c>
      <c r="X31" s="12">
        <v>76.790000000000006</v>
      </c>
      <c r="Y31" s="12">
        <v>38.71</v>
      </c>
      <c r="Z31" s="12">
        <v>12.78</v>
      </c>
      <c r="AA31" s="12">
        <v>26.01</v>
      </c>
      <c r="AB31" s="12">
        <v>7.74</v>
      </c>
      <c r="AC31" s="12">
        <v>130.81</v>
      </c>
      <c r="AD31" s="12">
        <v>6.62</v>
      </c>
      <c r="AE31" s="12">
        <v>25.62</v>
      </c>
      <c r="AF31" s="12">
        <v>4.7</v>
      </c>
      <c r="AG31" s="12" t="s">
        <v>68</v>
      </c>
      <c r="AH31" s="12">
        <v>2.3199999999999998</v>
      </c>
      <c r="AI31" s="12">
        <v>145.97</v>
      </c>
      <c r="AJ31" s="12">
        <v>2.86</v>
      </c>
      <c r="AK31" s="12">
        <v>171.35</v>
      </c>
      <c r="AL31" s="12">
        <v>2.7</v>
      </c>
      <c r="AM31" s="12">
        <v>272.19</v>
      </c>
      <c r="AN31" s="12">
        <v>3.39</v>
      </c>
      <c r="AO31" s="12">
        <v>10.39</v>
      </c>
      <c r="AP31" s="12">
        <v>1.73</v>
      </c>
      <c r="AQ31" s="12" t="s">
        <v>68</v>
      </c>
      <c r="AR31" s="12">
        <v>4.58</v>
      </c>
      <c r="AS31" s="12" t="s">
        <v>68</v>
      </c>
      <c r="AT31" s="12">
        <v>4.3499999999999996</v>
      </c>
      <c r="AU31" s="12" t="s">
        <v>68</v>
      </c>
      <c r="AV31" s="12">
        <v>6.22</v>
      </c>
      <c r="AW31" s="12" t="s">
        <v>68</v>
      </c>
      <c r="AX31" s="12">
        <v>4.66</v>
      </c>
      <c r="AY31" s="12" t="s">
        <v>68</v>
      </c>
      <c r="AZ31" s="12">
        <v>7.06</v>
      </c>
      <c r="BA31" s="12" t="s">
        <v>68</v>
      </c>
      <c r="BB31" s="12">
        <v>14.31</v>
      </c>
      <c r="BC31" s="12">
        <v>8.32</v>
      </c>
      <c r="BD31" s="12">
        <v>3.14</v>
      </c>
      <c r="BE31" s="12">
        <v>219.82</v>
      </c>
      <c r="BF31" s="12">
        <v>14.99</v>
      </c>
      <c r="BG31" s="12" t="s">
        <v>68</v>
      </c>
      <c r="BH31" s="12">
        <v>22.6</v>
      </c>
      <c r="BI31" s="12" t="s">
        <v>68</v>
      </c>
      <c r="BJ31" s="12">
        <v>3.48</v>
      </c>
      <c r="BK31" s="12">
        <v>5.5</v>
      </c>
      <c r="BL31" s="12">
        <v>3.43</v>
      </c>
      <c r="BM31" s="12">
        <v>148.72999999999999</v>
      </c>
      <c r="BN31" s="12">
        <v>5.63</v>
      </c>
      <c r="BO31" s="12">
        <v>15.98</v>
      </c>
      <c r="BP31" s="12">
        <v>2.33</v>
      </c>
      <c r="BQ31" s="12" t="s">
        <v>68</v>
      </c>
      <c r="BR31" s="12">
        <v>4.88</v>
      </c>
    </row>
    <row r="32" spans="1:70" ht="15.75" customHeight="1">
      <c r="A32" s="11">
        <v>30</v>
      </c>
      <c r="B32" s="11">
        <f t="shared" si="0"/>
        <v>1422.5475951903809</v>
      </c>
      <c r="C32" s="12">
        <v>21120.17</v>
      </c>
      <c r="D32" s="12">
        <v>188.35</v>
      </c>
      <c r="E32" s="12" t="s">
        <v>68</v>
      </c>
      <c r="F32" s="12">
        <v>384.56</v>
      </c>
      <c r="G32" s="12">
        <v>15013.42</v>
      </c>
      <c r="H32" s="12">
        <v>389.25</v>
      </c>
      <c r="I32" s="12">
        <v>793.61</v>
      </c>
      <c r="J32" s="12">
        <v>105.33</v>
      </c>
      <c r="K32" s="12">
        <v>32.53</v>
      </c>
      <c r="L32" s="12">
        <v>10.34</v>
      </c>
      <c r="M32" s="12">
        <v>5081.51</v>
      </c>
      <c r="N32" s="12">
        <v>58.25</v>
      </c>
      <c r="O32" s="12">
        <v>116.21</v>
      </c>
      <c r="P32" s="12">
        <v>14.81</v>
      </c>
      <c r="Q32" s="12">
        <v>58.43</v>
      </c>
      <c r="R32" s="12">
        <v>7.56</v>
      </c>
      <c r="S32" s="12">
        <v>76.16</v>
      </c>
      <c r="T32" s="12">
        <v>24.36</v>
      </c>
      <c r="U32" s="12">
        <v>21894.22</v>
      </c>
      <c r="V32" s="12">
        <v>133.83000000000001</v>
      </c>
      <c r="W32" s="12" t="s">
        <v>68</v>
      </c>
      <c r="X32" s="12">
        <v>72.87</v>
      </c>
      <c r="Y32" s="12">
        <v>35.54</v>
      </c>
      <c r="Z32" s="12">
        <v>12.6</v>
      </c>
      <c r="AA32" s="12">
        <v>30.59</v>
      </c>
      <c r="AB32" s="12">
        <v>7.77</v>
      </c>
      <c r="AC32" s="12">
        <v>110.53</v>
      </c>
      <c r="AD32" s="12">
        <v>6.23</v>
      </c>
      <c r="AE32" s="12">
        <v>15.52</v>
      </c>
      <c r="AF32" s="12">
        <v>4.55</v>
      </c>
      <c r="AG32" s="12" t="s">
        <v>68</v>
      </c>
      <c r="AH32" s="12">
        <v>2.23</v>
      </c>
      <c r="AI32" s="12">
        <v>148.31</v>
      </c>
      <c r="AJ32" s="12">
        <v>2.88</v>
      </c>
      <c r="AK32" s="12">
        <v>166.23</v>
      </c>
      <c r="AL32" s="12">
        <v>2.65</v>
      </c>
      <c r="AM32" s="12">
        <v>270.7</v>
      </c>
      <c r="AN32" s="12">
        <v>3.37</v>
      </c>
      <c r="AO32" s="12">
        <v>10.65</v>
      </c>
      <c r="AP32" s="12">
        <v>1.73</v>
      </c>
      <c r="AQ32" s="12" t="s">
        <v>68</v>
      </c>
      <c r="AR32" s="12">
        <v>4.6399999999999997</v>
      </c>
      <c r="AS32" s="12" t="s">
        <v>68</v>
      </c>
      <c r="AT32" s="12">
        <v>4.28</v>
      </c>
      <c r="AU32" s="12" t="s">
        <v>68</v>
      </c>
      <c r="AV32" s="12">
        <v>6.21</v>
      </c>
      <c r="AW32" s="12">
        <v>5.28</v>
      </c>
      <c r="AX32" s="12">
        <v>3.09</v>
      </c>
      <c r="AY32" s="12" t="s">
        <v>68</v>
      </c>
      <c r="AZ32" s="12">
        <v>7.02</v>
      </c>
      <c r="BA32" s="12" t="s">
        <v>68</v>
      </c>
      <c r="BB32" s="12">
        <v>14.25</v>
      </c>
      <c r="BC32" s="12">
        <v>9.4600000000000009</v>
      </c>
      <c r="BD32" s="12">
        <v>3.12</v>
      </c>
      <c r="BE32" s="12">
        <v>219.62</v>
      </c>
      <c r="BF32" s="12">
        <v>14.9</v>
      </c>
      <c r="BG32" s="12" t="s">
        <v>68</v>
      </c>
      <c r="BH32" s="12">
        <v>22.89</v>
      </c>
      <c r="BI32" s="12" t="s">
        <v>68</v>
      </c>
      <c r="BJ32" s="12">
        <v>3.35</v>
      </c>
      <c r="BK32" s="12" t="s">
        <v>68</v>
      </c>
      <c r="BL32" s="12">
        <v>5.1100000000000003</v>
      </c>
      <c r="BM32" s="12">
        <v>148.32</v>
      </c>
      <c r="BN32" s="12">
        <v>5.6</v>
      </c>
      <c r="BO32" s="12">
        <v>15.68</v>
      </c>
      <c r="BP32" s="12">
        <v>2.31</v>
      </c>
      <c r="BQ32" s="12">
        <v>8.01</v>
      </c>
      <c r="BR32" s="12">
        <v>3.32</v>
      </c>
    </row>
    <row r="33" spans="1:70" ht="15.75" customHeight="1">
      <c r="A33" s="11">
        <v>31</v>
      </c>
      <c r="B33" s="11">
        <f t="shared" si="0"/>
        <v>1402.5075150300599</v>
      </c>
      <c r="C33" s="12">
        <v>21887.97</v>
      </c>
      <c r="D33" s="12">
        <v>188.51</v>
      </c>
      <c r="E33" s="12" t="s">
        <v>68</v>
      </c>
      <c r="F33" s="12">
        <v>376.17</v>
      </c>
      <c r="G33" s="12">
        <v>13288.51</v>
      </c>
      <c r="H33" s="12">
        <v>361.54</v>
      </c>
      <c r="I33" s="12">
        <v>966.42</v>
      </c>
      <c r="J33" s="12">
        <v>106.38</v>
      </c>
      <c r="K33" s="12">
        <v>20.47</v>
      </c>
      <c r="L33" s="12">
        <v>10.37</v>
      </c>
      <c r="M33" s="12">
        <v>5317.65</v>
      </c>
      <c r="N33" s="12">
        <v>58.17</v>
      </c>
      <c r="O33" s="12">
        <v>139.85</v>
      </c>
      <c r="P33" s="12">
        <v>14.88</v>
      </c>
      <c r="Q33" s="12">
        <v>64.63</v>
      </c>
      <c r="R33" s="12">
        <v>7.55</v>
      </c>
      <c r="S33" s="12">
        <v>81.900000000000006</v>
      </c>
      <c r="T33" s="12">
        <v>23.81</v>
      </c>
      <c r="U33" s="12">
        <v>19724.5</v>
      </c>
      <c r="V33" s="12">
        <v>124.94</v>
      </c>
      <c r="W33" s="12" t="s">
        <v>68</v>
      </c>
      <c r="X33" s="12">
        <v>68.23</v>
      </c>
      <c r="Y33" s="12">
        <v>27.55</v>
      </c>
      <c r="Z33" s="12">
        <v>12.25</v>
      </c>
      <c r="AA33" s="12">
        <v>24.7</v>
      </c>
      <c r="AB33" s="12">
        <v>7.49</v>
      </c>
      <c r="AC33" s="12">
        <v>82.12</v>
      </c>
      <c r="AD33" s="12">
        <v>5.55</v>
      </c>
      <c r="AE33" s="12">
        <v>21.23</v>
      </c>
      <c r="AF33" s="12">
        <v>4.4400000000000004</v>
      </c>
      <c r="AG33" s="12" t="s">
        <v>68</v>
      </c>
      <c r="AH33" s="12">
        <v>2.19</v>
      </c>
      <c r="AI33" s="12">
        <v>144.25</v>
      </c>
      <c r="AJ33" s="12">
        <v>2.78</v>
      </c>
      <c r="AK33" s="12">
        <v>164.08</v>
      </c>
      <c r="AL33" s="12">
        <v>2.59</v>
      </c>
      <c r="AM33" s="12">
        <v>288.87</v>
      </c>
      <c r="AN33" s="12">
        <v>3.4</v>
      </c>
      <c r="AO33" s="12">
        <v>13.3</v>
      </c>
      <c r="AP33" s="12">
        <v>1.73</v>
      </c>
      <c r="AQ33" s="12" t="s">
        <v>68</v>
      </c>
      <c r="AR33" s="12">
        <v>4.57</v>
      </c>
      <c r="AS33" s="12" t="s">
        <v>68</v>
      </c>
      <c r="AT33" s="12">
        <v>4.16</v>
      </c>
      <c r="AU33" s="12" t="s">
        <v>68</v>
      </c>
      <c r="AV33" s="12">
        <v>5.99</v>
      </c>
      <c r="AW33" s="12" t="s">
        <v>68</v>
      </c>
      <c r="AX33" s="12">
        <v>4.5</v>
      </c>
      <c r="AY33" s="12" t="s">
        <v>68</v>
      </c>
      <c r="AZ33" s="12">
        <v>6.87</v>
      </c>
      <c r="BA33" s="12" t="s">
        <v>68</v>
      </c>
      <c r="BB33" s="12">
        <v>13.85</v>
      </c>
      <c r="BC33" s="12" t="s">
        <v>68</v>
      </c>
      <c r="BD33" s="12">
        <v>4.54</v>
      </c>
      <c r="BE33" s="12">
        <v>177.07</v>
      </c>
      <c r="BF33" s="12">
        <v>14.44</v>
      </c>
      <c r="BG33" s="12" t="s">
        <v>68</v>
      </c>
      <c r="BH33" s="12">
        <v>22.13</v>
      </c>
      <c r="BI33" s="12" t="s">
        <v>68</v>
      </c>
      <c r="BJ33" s="12">
        <v>3.4</v>
      </c>
      <c r="BK33" s="12">
        <v>7.85</v>
      </c>
      <c r="BL33" s="12">
        <v>3.43</v>
      </c>
      <c r="BM33" s="12">
        <v>140.11000000000001</v>
      </c>
      <c r="BN33" s="12">
        <v>5.37</v>
      </c>
      <c r="BO33" s="12">
        <v>17.47</v>
      </c>
      <c r="BP33" s="12">
        <v>2.29</v>
      </c>
      <c r="BQ33" s="12" t="s">
        <v>68</v>
      </c>
      <c r="BR33" s="12">
        <v>4.72</v>
      </c>
    </row>
    <row r="34" spans="1:70" ht="15.75" customHeight="1">
      <c r="A34" s="11">
        <v>32</v>
      </c>
      <c r="B34" s="11">
        <f t="shared" si="0"/>
        <v>1382.4674348697395</v>
      </c>
      <c r="C34" s="12">
        <v>22380.73</v>
      </c>
      <c r="D34" s="12">
        <v>187.65</v>
      </c>
      <c r="E34" s="12" t="s">
        <v>68</v>
      </c>
      <c r="F34" s="12">
        <v>334.23</v>
      </c>
      <c r="G34" s="12">
        <v>11790.93</v>
      </c>
      <c r="H34" s="12">
        <v>336.32</v>
      </c>
      <c r="I34" s="12">
        <v>1159.26</v>
      </c>
      <c r="J34" s="12">
        <v>103.89</v>
      </c>
      <c r="K34" s="12">
        <v>19.7</v>
      </c>
      <c r="L34" s="12">
        <v>10.14</v>
      </c>
      <c r="M34" s="12">
        <v>5272.4</v>
      </c>
      <c r="N34" s="12">
        <v>57.42</v>
      </c>
      <c r="O34" s="12">
        <v>129.77000000000001</v>
      </c>
      <c r="P34" s="12">
        <v>14.66</v>
      </c>
      <c r="Q34" s="12">
        <v>63.49</v>
      </c>
      <c r="R34" s="12">
        <v>7.43</v>
      </c>
      <c r="S34" s="12">
        <v>50.55</v>
      </c>
      <c r="T34" s="12">
        <v>22.31</v>
      </c>
      <c r="U34" s="12">
        <v>16327.71</v>
      </c>
      <c r="V34" s="12">
        <v>111.18</v>
      </c>
      <c r="W34" s="12" t="s">
        <v>68</v>
      </c>
      <c r="X34" s="12">
        <v>61.16</v>
      </c>
      <c r="Y34" s="12">
        <v>23.37</v>
      </c>
      <c r="Z34" s="12">
        <v>11.81</v>
      </c>
      <c r="AA34" s="12">
        <v>20.21</v>
      </c>
      <c r="AB34" s="12">
        <v>7.17</v>
      </c>
      <c r="AC34" s="12">
        <v>69.95</v>
      </c>
      <c r="AD34" s="12">
        <v>5.14</v>
      </c>
      <c r="AE34" s="12">
        <v>18.54</v>
      </c>
      <c r="AF34" s="12">
        <v>4.1500000000000004</v>
      </c>
      <c r="AG34" s="12" t="s">
        <v>68</v>
      </c>
      <c r="AH34" s="12">
        <v>2.11</v>
      </c>
      <c r="AI34" s="12">
        <v>146.31</v>
      </c>
      <c r="AJ34" s="12">
        <v>2.73</v>
      </c>
      <c r="AK34" s="12">
        <v>152.16</v>
      </c>
      <c r="AL34" s="12">
        <v>2.44</v>
      </c>
      <c r="AM34" s="12">
        <v>283.61</v>
      </c>
      <c r="AN34" s="12">
        <v>3.28</v>
      </c>
      <c r="AO34" s="12">
        <v>13.04</v>
      </c>
      <c r="AP34" s="12">
        <v>1.68</v>
      </c>
      <c r="AQ34" s="12" t="s">
        <v>68</v>
      </c>
      <c r="AR34" s="12">
        <v>4.33</v>
      </c>
      <c r="AS34" s="12" t="s">
        <v>68</v>
      </c>
      <c r="AT34" s="12">
        <v>4.04</v>
      </c>
      <c r="AU34" s="12" t="s">
        <v>68</v>
      </c>
      <c r="AV34" s="12">
        <v>5.83</v>
      </c>
      <c r="AW34" s="12" t="s">
        <v>68</v>
      </c>
      <c r="AX34" s="12">
        <v>4.3499999999999996</v>
      </c>
      <c r="AY34" s="12" t="s">
        <v>68</v>
      </c>
      <c r="AZ34" s="12">
        <v>6.57</v>
      </c>
      <c r="BA34" s="12" t="s">
        <v>68</v>
      </c>
      <c r="BB34" s="12">
        <v>13.38</v>
      </c>
      <c r="BC34" s="12" t="s">
        <v>68</v>
      </c>
      <c r="BD34" s="12">
        <v>4.41</v>
      </c>
      <c r="BE34" s="12">
        <v>103.93</v>
      </c>
      <c r="BF34" s="12">
        <v>13.83</v>
      </c>
      <c r="BG34" s="12" t="s">
        <v>68</v>
      </c>
      <c r="BH34" s="12">
        <v>21.08</v>
      </c>
      <c r="BI34" s="12" t="s">
        <v>68</v>
      </c>
      <c r="BJ34" s="12">
        <v>3.21</v>
      </c>
      <c r="BK34" s="12">
        <v>5.15</v>
      </c>
      <c r="BL34" s="12">
        <v>3.22</v>
      </c>
      <c r="BM34" s="12">
        <v>127.71</v>
      </c>
      <c r="BN34" s="12">
        <v>5.03</v>
      </c>
      <c r="BO34" s="12">
        <v>17.34</v>
      </c>
      <c r="BP34" s="12">
        <v>2.2000000000000002</v>
      </c>
      <c r="BQ34" s="12" t="s">
        <v>68</v>
      </c>
      <c r="BR34" s="12">
        <v>4.57</v>
      </c>
    </row>
    <row r="35" spans="1:70" ht="15.75" customHeight="1">
      <c r="A35" s="11">
        <v>33</v>
      </c>
      <c r="B35" s="11">
        <f t="shared" si="0"/>
        <v>1362.427354709419</v>
      </c>
      <c r="C35" s="12">
        <v>21775.8</v>
      </c>
      <c r="D35" s="12">
        <v>184.12</v>
      </c>
      <c r="E35" s="12" t="s">
        <v>68</v>
      </c>
      <c r="F35" s="12">
        <v>345.07</v>
      </c>
      <c r="G35" s="12">
        <v>12134.8</v>
      </c>
      <c r="H35" s="12">
        <v>338.91</v>
      </c>
      <c r="I35" s="12">
        <v>1441.22</v>
      </c>
      <c r="J35" s="12">
        <v>102.51</v>
      </c>
      <c r="K35" s="12" t="s">
        <v>68</v>
      </c>
      <c r="L35" s="12">
        <v>15.3</v>
      </c>
      <c r="M35" s="12">
        <v>5128.43</v>
      </c>
      <c r="N35" s="12">
        <v>56.13</v>
      </c>
      <c r="O35" s="12">
        <v>137.02000000000001</v>
      </c>
      <c r="P35" s="12">
        <v>14.4</v>
      </c>
      <c r="Q35" s="12">
        <v>67.67</v>
      </c>
      <c r="R35" s="12">
        <v>7.39</v>
      </c>
      <c r="S35" s="12">
        <v>38.57</v>
      </c>
      <c r="T35" s="12">
        <v>22.38</v>
      </c>
      <c r="U35" s="12">
        <v>17129.3</v>
      </c>
      <c r="V35" s="12">
        <v>114.91</v>
      </c>
      <c r="W35" s="12" t="s">
        <v>68</v>
      </c>
      <c r="X35" s="12">
        <v>63.23</v>
      </c>
      <c r="Y35" s="12">
        <v>32.94</v>
      </c>
      <c r="Z35" s="12">
        <v>12.09</v>
      </c>
      <c r="AA35" s="12">
        <v>23.37</v>
      </c>
      <c r="AB35" s="12">
        <v>7.34</v>
      </c>
      <c r="AC35" s="12">
        <v>71.3</v>
      </c>
      <c r="AD35" s="12">
        <v>5.23</v>
      </c>
      <c r="AE35" s="12">
        <v>18.16</v>
      </c>
      <c r="AF35" s="12">
        <v>3.97</v>
      </c>
      <c r="AG35" s="12" t="s">
        <v>68</v>
      </c>
      <c r="AH35" s="12">
        <v>2.12</v>
      </c>
      <c r="AI35" s="12">
        <v>148.12</v>
      </c>
      <c r="AJ35" s="12">
        <v>2.78</v>
      </c>
      <c r="AK35" s="12">
        <v>154.25</v>
      </c>
      <c r="AL35" s="12">
        <v>2.48</v>
      </c>
      <c r="AM35" s="12">
        <v>271.74</v>
      </c>
      <c r="AN35" s="12">
        <v>3.26</v>
      </c>
      <c r="AO35" s="12">
        <v>9.23</v>
      </c>
      <c r="AP35" s="12">
        <v>1.66</v>
      </c>
      <c r="AQ35" s="12" t="s">
        <v>68</v>
      </c>
      <c r="AR35" s="12">
        <v>4.3600000000000003</v>
      </c>
      <c r="AS35" s="12" t="s">
        <v>68</v>
      </c>
      <c r="AT35" s="12">
        <v>4.13</v>
      </c>
      <c r="AU35" s="12" t="s">
        <v>68</v>
      </c>
      <c r="AV35" s="12">
        <v>5.98</v>
      </c>
      <c r="AW35" s="12" t="s">
        <v>68</v>
      </c>
      <c r="AX35" s="12">
        <v>4.46</v>
      </c>
      <c r="AY35" s="12" t="s">
        <v>68</v>
      </c>
      <c r="AZ35" s="12">
        <v>6.74</v>
      </c>
      <c r="BA35" s="12" t="s">
        <v>68</v>
      </c>
      <c r="BB35" s="12">
        <v>13.63</v>
      </c>
      <c r="BC35" s="12" t="s">
        <v>68</v>
      </c>
      <c r="BD35" s="12">
        <v>4.47</v>
      </c>
      <c r="BE35" s="12">
        <v>129.6</v>
      </c>
      <c r="BF35" s="12">
        <v>14.11</v>
      </c>
      <c r="BG35" s="12" t="s">
        <v>68</v>
      </c>
      <c r="BH35" s="12">
        <v>21.65</v>
      </c>
      <c r="BI35" s="12" t="s">
        <v>68</v>
      </c>
      <c r="BJ35" s="12">
        <v>3.26</v>
      </c>
      <c r="BK35" s="12" t="s">
        <v>68</v>
      </c>
      <c r="BL35" s="12">
        <v>4.92</v>
      </c>
      <c r="BM35" s="12">
        <v>111.1</v>
      </c>
      <c r="BN35" s="12">
        <v>4.78</v>
      </c>
      <c r="BO35" s="12">
        <v>16.79</v>
      </c>
      <c r="BP35" s="12">
        <v>2.19</v>
      </c>
      <c r="BQ35" s="12">
        <v>4.99</v>
      </c>
      <c r="BR35" s="12">
        <v>3.15</v>
      </c>
    </row>
    <row r="36" spans="1:70" ht="15.75" customHeight="1">
      <c r="A36" s="11">
        <v>34</v>
      </c>
      <c r="B36" s="11">
        <f t="shared" si="0"/>
        <v>1342.387274549098</v>
      </c>
      <c r="C36" s="12">
        <v>22586.36</v>
      </c>
      <c r="D36" s="12">
        <v>189.04</v>
      </c>
      <c r="E36" s="12" t="s">
        <v>68</v>
      </c>
      <c r="F36" s="12">
        <v>371.71</v>
      </c>
      <c r="G36" s="12">
        <v>12271.91</v>
      </c>
      <c r="H36" s="12">
        <v>343.84</v>
      </c>
      <c r="I36" s="12">
        <v>1113.46</v>
      </c>
      <c r="J36" s="12">
        <v>104.92</v>
      </c>
      <c r="K36" s="12">
        <v>16.670000000000002</v>
      </c>
      <c r="L36" s="12">
        <v>10.15</v>
      </c>
      <c r="M36" s="12">
        <v>5449.65</v>
      </c>
      <c r="N36" s="12">
        <v>58.03</v>
      </c>
      <c r="O36" s="12">
        <v>136.68</v>
      </c>
      <c r="P36" s="12">
        <v>14.78</v>
      </c>
      <c r="Q36" s="12">
        <v>65.25</v>
      </c>
      <c r="R36" s="12">
        <v>7.49</v>
      </c>
      <c r="S36" s="12">
        <v>56.14</v>
      </c>
      <c r="T36" s="12">
        <v>22.93</v>
      </c>
      <c r="U36" s="12">
        <v>16824.21</v>
      </c>
      <c r="V36" s="12">
        <v>114.53</v>
      </c>
      <c r="W36" s="12" t="s">
        <v>68</v>
      </c>
      <c r="X36" s="12">
        <v>62.8</v>
      </c>
      <c r="Y36" s="12">
        <v>31.33</v>
      </c>
      <c r="Z36" s="12">
        <v>12.07</v>
      </c>
      <c r="AA36" s="12">
        <v>31.89</v>
      </c>
      <c r="AB36" s="12">
        <v>7.52</v>
      </c>
      <c r="AC36" s="12">
        <v>83.54</v>
      </c>
      <c r="AD36" s="12">
        <v>5.51</v>
      </c>
      <c r="AE36" s="12">
        <v>18.57</v>
      </c>
      <c r="AF36" s="12">
        <v>3.57</v>
      </c>
      <c r="AG36" s="12" t="s">
        <v>68</v>
      </c>
      <c r="AH36" s="12">
        <v>2.1800000000000002</v>
      </c>
      <c r="AI36" s="12">
        <v>149.54</v>
      </c>
      <c r="AJ36" s="12">
        <v>2.81</v>
      </c>
      <c r="AK36" s="12">
        <v>146.19999999999999</v>
      </c>
      <c r="AL36" s="12">
        <v>2.4300000000000002</v>
      </c>
      <c r="AM36" s="12">
        <v>269.77</v>
      </c>
      <c r="AN36" s="12">
        <v>3.26</v>
      </c>
      <c r="AO36" s="12">
        <v>10.18</v>
      </c>
      <c r="AP36" s="12">
        <v>1.68</v>
      </c>
      <c r="AQ36" s="12" t="s">
        <v>68</v>
      </c>
      <c r="AR36" s="12">
        <v>4.37</v>
      </c>
      <c r="AS36" s="12" t="s">
        <v>68</v>
      </c>
      <c r="AT36" s="12">
        <v>4.16</v>
      </c>
      <c r="AU36" s="12" t="s">
        <v>68</v>
      </c>
      <c r="AV36" s="12">
        <v>5.93</v>
      </c>
      <c r="AW36" s="12" t="s">
        <v>68</v>
      </c>
      <c r="AX36" s="12">
        <v>4.45</v>
      </c>
      <c r="AY36" s="12" t="s">
        <v>68</v>
      </c>
      <c r="AZ36" s="12">
        <v>6.78</v>
      </c>
      <c r="BA36" s="12" t="s">
        <v>68</v>
      </c>
      <c r="BB36" s="12">
        <v>13.67</v>
      </c>
      <c r="BC36" s="12" t="s">
        <v>68</v>
      </c>
      <c r="BD36" s="12">
        <v>4.5</v>
      </c>
      <c r="BE36" s="12">
        <v>197.01</v>
      </c>
      <c r="BF36" s="12">
        <v>14.35</v>
      </c>
      <c r="BG36" s="12" t="s">
        <v>68</v>
      </c>
      <c r="BH36" s="12">
        <v>21.65</v>
      </c>
      <c r="BI36" s="12">
        <v>3.88</v>
      </c>
      <c r="BJ36" s="12">
        <v>2.23</v>
      </c>
      <c r="BK36" s="12" t="s">
        <v>68</v>
      </c>
      <c r="BL36" s="12">
        <v>4.92</v>
      </c>
      <c r="BM36" s="12">
        <v>80.25</v>
      </c>
      <c r="BN36" s="12">
        <v>4.21</v>
      </c>
      <c r="BO36" s="12">
        <v>16.75</v>
      </c>
      <c r="BP36" s="12">
        <v>2.14</v>
      </c>
      <c r="BQ36" s="12">
        <v>6.45</v>
      </c>
      <c r="BR36" s="12">
        <v>3.2</v>
      </c>
    </row>
    <row r="37" spans="1:70" ht="15.75" customHeight="1">
      <c r="A37" s="11">
        <v>35</v>
      </c>
      <c r="B37" s="11">
        <f t="shared" si="0"/>
        <v>1322.3471943887776</v>
      </c>
      <c r="C37" s="12">
        <v>21663.62</v>
      </c>
      <c r="D37" s="12">
        <v>186.67</v>
      </c>
      <c r="E37" s="12" t="s">
        <v>68</v>
      </c>
      <c r="F37" s="12">
        <v>350.67</v>
      </c>
      <c r="G37" s="12">
        <v>14600.21</v>
      </c>
      <c r="H37" s="12">
        <v>375.89</v>
      </c>
      <c r="I37" s="12">
        <v>1423.57</v>
      </c>
      <c r="J37" s="12">
        <v>102.68</v>
      </c>
      <c r="K37" s="12">
        <v>26.43</v>
      </c>
      <c r="L37" s="12">
        <v>10.48</v>
      </c>
      <c r="M37" s="12">
        <v>5025.62</v>
      </c>
      <c r="N37" s="12">
        <v>56.43</v>
      </c>
      <c r="O37" s="12">
        <v>153.38999999999999</v>
      </c>
      <c r="P37" s="12">
        <v>14.63</v>
      </c>
      <c r="Q37" s="12">
        <v>59.72</v>
      </c>
      <c r="R37" s="12">
        <v>7.45</v>
      </c>
      <c r="S37" s="12">
        <v>70.45</v>
      </c>
      <c r="T37" s="12">
        <v>23.61</v>
      </c>
      <c r="U37" s="12">
        <v>19716.7</v>
      </c>
      <c r="V37" s="12">
        <v>125.04</v>
      </c>
      <c r="W37" s="12" t="s">
        <v>68</v>
      </c>
      <c r="X37" s="12">
        <v>68.41</v>
      </c>
      <c r="Y37" s="12">
        <v>29.39</v>
      </c>
      <c r="Z37" s="12">
        <v>12.28</v>
      </c>
      <c r="AA37" s="12">
        <v>32.979999999999997</v>
      </c>
      <c r="AB37" s="12">
        <v>7.67</v>
      </c>
      <c r="AC37" s="12">
        <v>233.11</v>
      </c>
      <c r="AD37" s="12">
        <v>8.11</v>
      </c>
      <c r="AE37" s="12">
        <v>25.66</v>
      </c>
      <c r="AF37" s="12">
        <v>5.26</v>
      </c>
      <c r="AG37" s="12" t="s">
        <v>68</v>
      </c>
      <c r="AH37" s="12">
        <v>2.2599999999999998</v>
      </c>
      <c r="AI37" s="12">
        <v>152.88999999999999</v>
      </c>
      <c r="AJ37" s="12">
        <v>2.86</v>
      </c>
      <c r="AK37" s="12">
        <v>141.54</v>
      </c>
      <c r="AL37" s="12">
        <v>2.42</v>
      </c>
      <c r="AM37" s="12">
        <v>252.08</v>
      </c>
      <c r="AN37" s="12">
        <v>3.2</v>
      </c>
      <c r="AO37" s="12">
        <v>10.94</v>
      </c>
      <c r="AP37" s="12">
        <v>1.69</v>
      </c>
      <c r="AQ37" s="12" t="s">
        <v>68</v>
      </c>
      <c r="AR37" s="12">
        <v>4.59</v>
      </c>
      <c r="AS37" s="12" t="s">
        <v>68</v>
      </c>
      <c r="AT37" s="12">
        <v>4.25</v>
      </c>
      <c r="AU37" s="12" t="s">
        <v>68</v>
      </c>
      <c r="AV37" s="12">
        <v>6.16</v>
      </c>
      <c r="AW37" s="12">
        <v>4.6500000000000004</v>
      </c>
      <c r="AX37" s="12">
        <v>3.05</v>
      </c>
      <c r="AY37" s="12" t="s">
        <v>68</v>
      </c>
      <c r="AZ37" s="12">
        <v>6.91</v>
      </c>
      <c r="BA37" s="12" t="s">
        <v>68</v>
      </c>
      <c r="BB37" s="12">
        <v>13.97</v>
      </c>
      <c r="BC37" s="12" t="s">
        <v>68</v>
      </c>
      <c r="BD37" s="12">
        <v>4.59</v>
      </c>
      <c r="BE37" s="12">
        <v>193.41</v>
      </c>
      <c r="BF37" s="12">
        <v>14.6</v>
      </c>
      <c r="BG37" s="12" t="s">
        <v>68</v>
      </c>
      <c r="BH37" s="12">
        <v>22.11</v>
      </c>
      <c r="BI37" s="12" t="s">
        <v>68</v>
      </c>
      <c r="BJ37" s="12">
        <v>3.5</v>
      </c>
      <c r="BK37" s="12">
        <v>5.13</v>
      </c>
      <c r="BL37" s="12">
        <v>3.35</v>
      </c>
      <c r="BM37" s="12">
        <v>208.3</v>
      </c>
      <c r="BN37" s="12">
        <v>6.42</v>
      </c>
      <c r="BO37" s="12">
        <v>17.87</v>
      </c>
      <c r="BP37" s="12">
        <v>2.42</v>
      </c>
      <c r="BQ37" s="12" t="s">
        <v>68</v>
      </c>
      <c r="BR37" s="12">
        <v>4.8099999999999996</v>
      </c>
    </row>
    <row r="38" spans="1:70" ht="15.75" customHeight="1">
      <c r="A38" s="11">
        <v>36</v>
      </c>
      <c r="B38" s="11">
        <f t="shared" si="0"/>
        <v>1302.3071142284571</v>
      </c>
      <c r="C38" s="12">
        <v>21655.4</v>
      </c>
      <c r="D38" s="12">
        <v>198.06</v>
      </c>
      <c r="E38" s="12" t="s">
        <v>68</v>
      </c>
      <c r="F38" s="12">
        <v>408.7</v>
      </c>
      <c r="G38" s="12">
        <v>20100.39</v>
      </c>
      <c r="H38" s="12">
        <v>464.87</v>
      </c>
      <c r="I38" s="12">
        <v>1630.05</v>
      </c>
      <c r="J38" s="12">
        <v>108.85</v>
      </c>
      <c r="K38" s="12" t="s">
        <v>68</v>
      </c>
      <c r="L38" s="12">
        <v>16.899999999999999</v>
      </c>
      <c r="M38" s="12">
        <v>4964.7299999999996</v>
      </c>
      <c r="N38" s="12">
        <v>59.55</v>
      </c>
      <c r="O38" s="12">
        <v>133.91</v>
      </c>
      <c r="P38" s="12">
        <v>15.3</v>
      </c>
      <c r="Q38" s="12">
        <v>79.63</v>
      </c>
      <c r="R38" s="12">
        <v>8.1</v>
      </c>
      <c r="S38" s="12">
        <v>76.11</v>
      </c>
      <c r="T38" s="12">
        <v>24.34</v>
      </c>
      <c r="U38" s="12">
        <v>25789.439999999999</v>
      </c>
      <c r="V38" s="12">
        <v>144.21</v>
      </c>
      <c r="W38" s="12" t="s">
        <v>68</v>
      </c>
      <c r="X38" s="12">
        <v>78.569999999999993</v>
      </c>
      <c r="Y38" s="12">
        <v>46.88</v>
      </c>
      <c r="Z38" s="12">
        <v>12.8</v>
      </c>
      <c r="AA38" s="12">
        <v>28.99</v>
      </c>
      <c r="AB38" s="12">
        <v>7.76</v>
      </c>
      <c r="AC38" s="12">
        <v>495.49</v>
      </c>
      <c r="AD38" s="12">
        <v>11.39</v>
      </c>
      <c r="AE38" s="12">
        <v>36.39</v>
      </c>
      <c r="AF38" s="12">
        <v>5.13</v>
      </c>
      <c r="AG38" s="12" t="s">
        <v>68</v>
      </c>
      <c r="AH38" s="12">
        <v>2.2599999999999998</v>
      </c>
      <c r="AI38" s="12">
        <v>148.5</v>
      </c>
      <c r="AJ38" s="12">
        <v>2.85</v>
      </c>
      <c r="AK38" s="12">
        <v>140.13</v>
      </c>
      <c r="AL38" s="12">
        <v>2.44</v>
      </c>
      <c r="AM38" s="12">
        <v>227.54</v>
      </c>
      <c r="AN38" s="12">
        <v>3.1</v>
      </c>
      <c r="AO38" s="12">
        <v>12.32</v>
      </c>
      <c r="AP38" s="12">
        <v>1.7</v>
      </c>
      <c r="AQ38" s="12" t="s">
        <v>68</v>
      </c>
      <c r="AR38" s="12">
        <v>4.5999999999999996</v>
      </c>
      <c r="AS38" s="12" t="s">
        <v>68</v>
      </c>
      <c r="AT38" s="12">
        <v>4.38</v>
      </c>
      <c r="AU38" s="12" t="s">
        <v>68</v>
      </c>
      <c r="AV38" s="12">
        <v>6.33</v>
      </c>
      <c r="AW38" s="12">
        <v>7.11</v>
      </c>
      <c r="AX38" s="12">
        <v>3.15</v>
      </c>
      <c r="AY38" s="12" t="s">
        <v>68</v>
      </c>
      <c r="AZ38" s="12">
        <v>7.07</v>
      </c>
      <c r="BA38" s="12" t="s">
        <v>68</v>
      </c>
      <c r="BB38" s="12">
        <v>14.23</v>
      </c>
      <c r="BC38" s="12">
        <v>5.7</v>
      </c>
      <c r="BD38" s="12">
        <v>3.14</v>
      </c>
      <c r="BE38" s="12">
        <v>154.18</v>
      </c>
      <c r="BF38" s="12">
        <v>14.75</v>
      </c>
      <c r="BG38" s="12" t="s">
        <v>68</v>
      </c>
      <c r="BH38" s="12">
        <v>23.43</v>
      </c>
      <c r="BI38" s="12">
        <v>4.7699999999999996</v>
      </c>
      <c r="BJ38" s="12">
        <v>2.4</v>
      </c>
      <c r="BK38" s="12" t="s">
        <v>68</v>
      </c>
      <c r="BL38" s="12">
        <v>5.18</v>
      </c>
      <c r="BM38" s="12">
        <v>180.59</v>
      </c>
      <c r="BN38" s="12">
        <v>6.08</v>
      </c>
      <c r="BO38" s="12">
        <v>15.74</v>
      </c>
      <c r="BP38" s="12">
        <v>2.36</v>
      </c>
      <c r="BQ38" s="12" t="s">
        <v>68</v>
      </c>
      <c r="BR38" s="12">
        <v>4.82</v>
      </c>
    </row>
    <row r="39" spans="1:70" ht="15.75" customHeight="1">
      <c r="A39" s="11">
        <v>37</v>
      </c>
      <c r="B39" s="11">
        <f t="shared" si="0"/>
        <v>1282.2670340681361</v>
      </c>
      <c r="C39" s="12">
        <v>21351.08</v>
      </c>
      <c r="D39" s="12">
        <v>201.72</v>
      </c>
      <c r="E39" s="12">
        <v>489.17</v>
      </c>
      <c r="F39" s="12">
        <v>310.38</v>
      </c>
      <c r="G39" s="12">
        <v>22646.28</v>
      </c>
      <c r="H39" s="12">
        <v>504.97</v>
      </c>
      <c r="I39" s="12">
        <v>1623.35</v>
      </c>
      <c r="J39" s="12">
        <v>112.3</v>
      </c>
      <c r="K39" s="12">
        <v>19.27</v>
      </c>
      <c r="L39" s="12">
        <v>11.89</v>
      </c>
      <c r="M39" s="12">
        <v>5000.66</v>
      </c>
      <c r="N39" s="12">
        <v>61.55</v>
      </c>
      <c r="O39" s="12">
        <v>146.02000000000001</v>
      </c>
      <c r="P39" s="12">
        <v>15.93</v>
      </c>
      <c r="Q39" s="12">
        <v>72.040000000000006</v>
      </c>
      <c r="R39" s="12">
        <v>8.27</v>
      </c>
      <c r="S39" s="12">
        <v>90.71</v>
      </c>
      <c r="T39" s="12">
        <v>25.3</v>
      </c>
      <c r="U39" s="12">
        <v>29609.52</v>
      </c>
      <c r="V39" s="12">
        <v>156.18</v>
      </c>
      <c r="W39" s="12" t="s">
        <v>68</v>
      </c>
      <c r="X39" s="12">
        <v>84.57</v>
      </c>
      <c r="Y39" s="12">
        <v>41.8</v>
      </c>
      <c r="Z39" s="12">
        <v>12.97</v>
      </c>
      <c r="AA39" s="12">
        <v>25.36</v>
      </c>
      <c r="AB39" s="12">
        <v>7.83</v>
      </c>
      <c r="AC39" s="12">
        <v>885.12</v>
      </c>
      <c r="AD39" s="12">
        <v>15.07</v>
      </c>
      <c r="AE39" s="12">
        <v>40.090000000000003</v>
      </c>
      <c r="AF39" s="12">
        <v>4.72</v>
      </c>
      <c r="AG39" s="12" t="s">
        <v>68</v>
      </c>
      <c r="AH39" s="12">
        <v>2.2999999999999998</v>
      </c>
      <c r="AI39" s="12">
        <v>149.75</v>
      </c>
      <c r="AJ39" s="12">
        <v>2.89</v>
      </c>
      <c r="AK39" s="12">
        <v>141.46</v>
      </c>
      <c r="AL39" s="12">
        <v>2.48</v>
      </c>
      <c r="AM39" s="12">
        <v>234.1</v>
      </c>
      <c r="AN39" s="12">
        <v>3.17</v>
      </c>
      <c r="AO39" s="12">
        <v>13.25</v>
      </c>
      <c r="AP39" s="12">
        <v>1.73</v>
      </c>
      <c r="AQ39" s="12" t="s">
        <v>68</v>
      </c>
      <c r="AR39" s="12">
        <v>4.6399999999999997</v>
      </c>
      <c r="AS39" s="12" t="s">
        <v>68</v>
      </c>
      <c r="AT39" s="12">
        <v>4.38</v>
      </c>
      <c r="AU39" s="12" t="s">
        <v>68</v>
      </c>
      <c r="AV39" s="12">
        <v>6.36</v>
      </c>
      <c r="AW39" s="12" t="s">
        <v>68</v>
      </c>
      <c r="AX39" s="12">
        <v>4.72</v>
      </c>
      <c r="AY39" s="12" t="s">
        <v>68</v>
      </c>
      <c r="AZ39" s="12">
        <v>7.13</v>
      </c>
      <c r="BA39" s="12" t="s">
        <v>68</v>
      </c>
      <c r="BB39" s="12">
        <v>14.43</v>
      </c>
      <c r="BC39" s="12" t="s">
        <v>68</v>
      </c>
      <c r="BD39" s="12">
        <v>4.76</v>
      </c>
      <c r="BE39" s="12">
        <v>168.08</v>
      </c>
      <c r="BF39" s="12">
        <v>15</v>
      </c>
      <c r="BG39" s="12" t="s">
        <v>68</v>
      </c>
      <c r="BH39" s="12">
        <v>24.06</v>
      </c>
      <c r="BI39" s="12">
        <v>4.17</v>
      </c>
      <c r="BJ39" s="12">
        <v>2.39</v>
      </c>
      <c r="BK39" s="12" t="s">
        <v>68</v>
      </c>
      <c r="BL39" s="12">
        <v>5.29</v>
      </c>
      <c r="BM39" s="12">
        <v>136.38999999999999</v>
      </c>
      <c r="BN39" s="12">
        <v>5.43</v>
      </c>
      <c r="BO39" s="12">
        <v>13.51</v>
      </c>
      <c r="BP39" s="12">
        <v>2.27</v>
      </c>
      <c r="BQ39" s="12" t="s">
        <v>68</v>
      </c>
      <c r="BR39" s="12">
        <v>4.88</v>
      </c>
    </row>
    <row r="40" spans="1:70" ht="15.75" customHeight="1">
      <c r="A40" s="11">
        <v>38</v>
      </c>
      <c r="B40" s="11">
        <f t="shared" si="0"/>
        <v>1262.2269539078156</v>
      </c>
      <c r="C40" s="12">
        <v>21946.080000000002</v>
      </c>
      <c r="D40" s="12">
        <v>208.92</v>
      </c>
      <c r="E40" s="12" t="s">
        <v>68</v>
      </c>
      <c r="F40" s="12">
        <v>464.05</v>
      </c>
      <c r="G40" s="12">
        <v>22320.73</v>
      </c>
      <c r="H40" s="12">
        <v>512.61</v>
      </c>
      <c r="I40" s="12">
        <v>1537.14</v>
      </c>
      <c r="J40" s="12">
        <v>115.69</v>
      </c>
      <c r="K40" s="12">
        <v>29.72</v>
      </c>
      <c r="L40" s="12">
        <v>12.32</v>
      </c>
      <c r="M40" s="12">
        <v>4889.78</v>
      </c>
      <c r="N40" s="12">
        <v>62.26</v>
      </c>
      <c r="O40" s="12">
        <v>157.27000000000001</v>
      </c>
      <c r="P40" s="12">
        <v>16.25</v>
      </c>
      <c r="Q40" s="12">
        <v>55.53</v>
      </c>
      <c r="R40" s="12">
        <v>8.34</v>
      </c>
      <c r="S40" s="12">
        <v>60.64</v>
      </c>
      <c r="T40" s="12">
        <v>24.43</v>
      </c>
      <c r="U40" s="12">
        <v>30180.02</v>
      </c>
      <c r="V40" s="12">
        <v>156.77000000000001</v>
      </c>
      <c r="W40" s="12" t="s">
        <v>68</v>
      </c>
      <c r="X40" s="12">
        <v>85.12</v>
      </c>
      <c r="Y40" s="12">
        <v>44.42</v>
      </c>
      <c r="Z40" s="12">
        <v>12.95</v>
      </c>
      <c r="AA40" s="12">
        <v>22.61</v>
      </c>
      <c r="AB40" s="12">
        <v>7.72</v>
      </c>
      <c r="AC40" s="12">
        <v>876.13</v>
      </c>
      <c r="AD40" s="12">
        <v>14.92</v>
      </c>
      <c r="AE40" s="12">
        <v>30.9</v>
      </c>
      <c r="AF40" s="12">
        <v>4.5999999999999996</v>
      </c>
      <c r="AG40" s="12" t="s">
        <v>68</v>
      </c>
      <c r="AH40" s="12">
        <v>2.2799999999999998</v>
      </c>
      <c r="AI40" s="12">
        <v>148.44</v>
      </c>
      <c r="AJ40" s="12">
        <v>2.87</v>
      </c>
      <c r="AK40" s="12">
        <v>145.51</v>
      </c>
      <c r="AL40" s="12">
        <v>2.4900000000000002</v>
      </c>
      <c r="AM40" s="12">
        <v>228.02</v>
      </c>
      <c r="AN40" s="12">
        <v>3.13</v>
      </c>
      <c r="AO40" s="12">
        <v>11.42</v>
      </c>
      <c r="AP40" s="12">
        <v>1.7</v>
      </c>
      <c r="AQ40" s="12" t="s">
        <v>68</v>
      </c>
      <c r="AR40" s="12">
        <v>4.63</v>
      </c>
      <c r="AS40" s="12" t="s">
        <v>68</v>
      </c>
      <c r="AT40" s="12">
        <v>4.25</v>
      </c>
      <c r="AU40" s="12" t="s">
        <v>68</v>
      </c>
      <c r="AV40" s="12">
        <v>6.16</v>
      </c>
      <c r="AW40" s="12" t="s">
        <v>68</v>
      </c>
      <c r="AX40" s="12">
        <v>4.6399999999999997</v>
      </c>
      <c r="AY40" s="12" t="s">
        <v>68</v>
      </c>
      <c r="AZ40" s="12">
        <v>6.99</v>
      </c>
      <c r="BA40" s="12" t="s">
        <v>68</v>
      </c>
      <c r="BB40" s="12">
        <v>14.05</v>
      </c>
      <c r="BC40" s="12" t="s">
        <v>68</v>
      </c>
      <c r="BD40" s="12">
        <v>4.63</v>
      </c>
      <c r="BE40" s="12">
        <v>98.93</v>
      </c>
      <c r="BF40" s="12">
        <v>14.47</v>
      </c>
      <c r="BG40" s="12" t="s">
        <v>68</v>
      </c>
      <c r="BH40" s="12">
        <v>23.94</v>
      </c>
      <c r="BI40" s="12" t="s">
        <v>68</v>
      </c>
      <c r="BJ40" s="12">
        <v>3.5</v>
      </c>
      <c r="BK40" s="12" t="s">
        <v>68</v>
      </c>
      <c r="BL40" s="12">
        <v>5.21</v>
      </c>
      <c r="BM40" s="12">
        <v>137.43</v>
      </c>
      <c r="BN40" s="12">
        <v>5.42</v>
      </c>
      <c r="BO40" s="12">
        <v>15.57</v>
      </c>
      <c r="BP40" s="12">
        <v>2.31</v>
      </c>
      <c r="BQ40" s="12" t="s">
        <v>68</v>
      </c>
      <c r="BR40" s="12">
        <v>4.84</v>
      </c>
    </row>
    <row r="41" spans="1:70" ht="15.75" customHeight="1">
      <c r="A41" s="11">
        <v>39</v>
      </c>
      <c r="B41" s="11">
        <f t="shared" si="0"/>
        <v>1242.1868737474952</v>
      </c>
      <c r="C41" s="12">
        <v>21283.96</v>
      </c>
      <c r="D41" s="12">
        <v>205.88</v>
      </c>
      <c r="E41" s="12" t="s">
        <v>68</v>
      </c>
      <c r="F41" s="12">
        <v>428.69</v>
      </c>
      <c r="G41" s="12">
        <v>23697.86</v>
      </c>
      <c r="H41" s="12">
        <v>527.66999999999996</v>
      </c>
      <c r="I41" s="12">
        <v>1510.67</v>
      </c>
      <c r="J41" s="12">
        <v>114.17</v>
      </c>
      <c r="K41" s="12">
        <v>27.01</v>
      </c>
      <c r="L41" s="12">
        <v>12.16</v>
      </c>
      <c r="M41" s="12">
        <v>4855.76</v>
      </c>
      <c r="N41" s="12">
        <v>62.55</v>
      </c>
      <c r="O41" s="12">
        <v>143.82</v>
      </c>
      <c r="P41" s="12">
        <v>16.260000000000002</v>
      </c>
      <c r="Q41" s="12">
        <v>65.17</v>
      </c>
      <c r="R41" s="12">
        <v>8.41</v>
      </c>
      <c r="S41" s="12">
        <v>72.38</v>
      </c>
      <c r="T41" s="12">
        <v>25.19</v>
      </c>
      <c r="U41" s="12">
        <v>31427</v>
      </c>
      <c r="V41" s="12">
        <v>161.08000000000001</v>
      </c>
      <c r="W41" s="12" t="s">
        <v>68</v>
      </c>
      <c r="X41" s="12">
        <v>87.2</v>
      </c>
      <c r="Y41" s="12">
        <v>50.74</v>
      </c>
      <c r="Z41" s="12">
        <v>13.14</v>
      </c>
      <c r="AA41" s="12">
        <v>19.28</v>
      </c>
      <c r="AB41" s="12">
        <v>7.72</v>
      </c>
      <c r="AC41" s="12">
        <v>656.81</v>
      </c>
      <c r="AD41" s="12">
        <v>13.13</v>
      </c>
      <c r="AE41" s="12">
        <v>27.21</v>
      </c>
      <c r="AF41" s="12">
        <v>4.2</v>
      </c>
      <c r="AG41" s="12" t="s">
        <v>68</v>
      </c>
      <c r="AH41" s="12">
        <v>2.3199999999999998</v>
      </c>
      <c r="AI41" s="12">
        <v>144.83000000000001</v>
      </c>
      <c r="AJ41" s="12">
        <v>2.86</v>
      </c>
      <c r="AK41" s="12">
        <v>149.75</v>
      </c>
      <c r="AL41" s="12">
        <v>2.54</v>
      </c>
      <c r="AM41" s="12">
        <v>233.73</v>
      </c>
      <c r="AN41" s="12">
        <v>3.18</v>
      </c>
      <c r="AO41" s="12">
        <v>12.35</v>
      </c>
      <c r="AP41" s="12">
        <v>1.73</v>
      </c>
      <c r="AQ41" s="12" t="s">
        <v>68</v>
      </c>
      <c r="AR41" s="12">
        <v>4.72</v>
      </c>
      <c r="AS41" s="12" t="s">
        <v>68</v>
      </c>
      <c r="AT41" s="12">
        <v>4.41</v>
      </c>
      <c r="AU41" s="12" t="s">
        <v>68</v>
      </c>
      <c r="AV41" s="12">
        <v>6.25</v>
      </c>
      <c r="AW41" s="12" t="s">
        <v>68</v>
      </c>
      <c r="AX41" s="12">
        <v>4.71</v>
      </c>
      <c r="AY41" s="12" t="s">
        <v>68</v>
      </c>
      <c r="AZ41" s="12">
        <v>7.13</v>
      </c>
      <c r="BA41" s="12" t="s">
        <v>68</v>
      </c>
      <c r="BB41" s="12">
        <v>14.5</v>
      </c>
      <c r="BC41" s="12" t="s">
        <v>68</v>
      </c>
      <c r="BD41" s="12">
        <v>4.76</v>
      </c>
      <c r="BE41" s="12">
        <v>170.84</v>
      </c>
      <c r="BF41" s="12">
        <v>15.04</v>
      </c>
      <c r="BG41" s="12" t="s">
        <v>68</v>
      </c>
      <c r="BH41" s="12">
        <v>24.25</v>
      </c>
      <c r="BI41" s="12" t="s">
        <v>68</v>
      </c>
      <c r="BJ41" s="12">
        <v>3.46</v>
      </c>
      <c r="BK41" s="12" t="s">
        <v>68</v>
      </c>
      <c r="BL41" s="12">
        <v>5.33</v>
      </c>
      <c r="BM41" s="12">
        <v>106.98</v>
      </c>
      <c r="BN41" s="12">
        <v>4.91</v>
      </c>
      <c r="BO41" s="12">
        <v>15.35</v>
      </c>
      <c r="BP41" s="12">
        <v>2.2599999999999998</v>
      </c>
      <c r="BQ41" s="12" t="s">
        <v>68</v>
      </c>
      <c r="BR41" s="12">
        <v>4.8600000000000003</v>
      </c>
    </row>
    <row r="42" spans="1:70" ht="15.75" customHeight="1">
      <c r="A42" s="11">
        <v>40</v>
      </c>
      <c r="B42" s="11">
        <f t="shared" si="0"/>
        <v>1222.1467935871742</v>
      </c>
      <c r="C42" s="12">
        <v>20968.03</v>
      </c>
      <c r="D42" s="12">
        <v>202.41</v>
      </c>
      <c r="E42" s="12" t="s">
        <v>68</v>
      </c>
      <c r="F42" s="12">
        <v>453.62</v>
      </c>
      <c r="G42" s="12">
        <v>22738.32</v>
      </c>
      <c r="H42" s="12">
        <v>512.37</v>
      </c>
      <c r="I42" s="12">
        <v>1695.77</v>
      </c>
      <c r="J42" s="12">
        <v>111.58</v>
      </c>
      <c r="K42" s="12">
        <v>33.78</v>
      </c>
      <c r="L42" s="12">
        <v>12.25</v>
      </c>
      <c r="M42" s="12">
        <v>4633.92</v>
      </c>
      <c r="N42" s="12">
        <v>60.04</v>
      </c>
      <c r="O42" s="12">
        <v>125.03</v>
      </c>
      <c r="P42" s="12">
        <v>15.47</v>
      </c>
      <c r="Q42" s="12">
        <v>60.85</v>
      </c>
      <c r="R42" s="12">
        <v>8.17</v>
      </c>
      <c r="S42" s="12">
        <v>107.15</v>
      </c>
      <c r="T42" s="12">
        <v>26.15</v>
      </c>
      <c r="U42" s="12">
        <v>32430.86</v>
      </c>
      <c r="V42" s="12">
        <v>165.08</v>
      </c>
      <c r="W42" s="12" t="s">
        <v>68</v>
      </c>
      <c r="X42" s="12">
        <v>89.98</v>
      </c>
      <c r="Y42" s="12">
        <v>51.68</v>
      </c>
      <c r="Z42" s="12">
        <v>13.3</v>
      </c>
      <c r="AA42" s="12">
        <v>29.83</v>
      </c>
      <c r="AB42" s="12">
        <v>8</v>
      </c>
      <c r="AC42" s="12">
        <v>453.49</v>
      </c>
      <c r="AD42" s="12">
        <v>11.18</v>
      </c>
      <c r="AE42" s="12">
        <v>25.16</v>
      </c>
      <c r="AF42" s="12">
        <v>4.08</v>
      </c>
      <c r="AG42" s="12" t="s">
        <v>68</v>
      </c>
      <c r="AH42" s="12">
        <v>2.29</v>
      </c>
      <c r="AI42" s="12">
        <v>144.52000000000001</v>
      </c>
      <c r="AJ42" s="12">
        <v>2.88</v>
      </c>
      <c r="AK42" s="12">
        <v>139.65</v>
      </c>
      <c r="AL42" s="12">
        <v>2.4900000000000002</v>
      </c>
      <c r="AM42" s="12">
        <v>223.44</v>
      </c>
      <c r="AN42" s="12">
        <v>3.14</v>
      </c>
      <c r="AO42" s="12">
        <v>9.9600000000000009</v>
      </c>
      <c r="AP42" s="12">
        <v>1.71</v>
      </c>
      <c r="AQ42" s="12" t="s">
        <v>68</v>
      </c>
      <c r="AR42" s="12">
        <v>4.74</v>
      </c>
      <c r="AS42" s="12">
        <v>5.2</v>
      </c>
      <c r="AT42" s="12">
        <v>3.01</v>
      </c>
      <c r="AU42" s="12" t="s">
        <v>68</v>
      </c>
      <c r="AV42" s="12">
        <v>6.46</v>
      </c>
      <c r="AW42" s="12">
        <v>10.64</v>
      </c>
      <c r="AX42" s="12">
        <v>3.26</v>
      </c>
      <c r="AY42" s="12" t="s">
        <v>68</v>
      </c>
      <c r="AZ42" s="12">
        <v>7.33</v>
      </c>
      <c r="BA42" s="12">
        <v>25.5</v>
      </c>
      <c r="BB42" s="12">
        <v>9.9499999999999993</v>
      </c>
      <c r="BC42" s="12">
        <v>16.03</v>
      </c>
      <c r="BD42" s="12">
        <v>3.26</v>
      </c>
      <c r="BE42" s="12">
        <v>229.26</v>
      </c>
      <c r="BF42" s="12">
        <v>15.46</v>
      </c>
      <c r="BG42" s="12" t="s">
        <v>68</v>
      </c>
      <c r="BH42" s="12">
        <v>23.75</v>
      </c>
      <c r="BI42" s="12">
        <v>3.96</v>
      </c>
      <c r="BJ42" s="12">
        <v>2.37</v>
      </c>
      <c r="BK42" s="12">
        <v>5.46</v>
      </c>
      <c r="BL42" s="12">
        <v>3.54</v>
      </c>
      <c r="BM42" s="12">
        <v>97.67</v>
      </c>
      <c r="BN42" s="12">
        <v>4.76</v>
      </c>
      <c r="BO42" s="12">
        <v>12.95</v>
      </c>
      <c r="BP42" s="12">
        <v>2.2000000000000002</v>
      </c>
      <c r="BQ42" s="12" t="s">
        <v>68</v>
      </c>
      <c r="BR42" s="12">
        <v>4.88</v>
      </c>
    </row>
    <row r="43" spans="1:70" ht="15.75" customHeight="1">
      <c r="A43" s="11">
        <v>41</v>
      </c>
      <c r="B43" s="11">
        <f t="shared" si="0"/>
        <v>1202.1067134268537</v>
      </c>
      <c r="C43" s="12">
        <v>20936.349999999999</v>
      </c>
      <c r="D43" s="12">
        <v>205.6</v>
      </c>
      <c r="E43" s="12" t="s">
        <v>68</v>
      </c>
      <c r="F43" s="12">
        <v>450.94</v>
      </c>
      <c r="G43" s="12">
        <v>21874.7</v>
      </c>
      <c r="H43" s="12">
        <v>511.36</v>
      </c>
      <c r="I43" s="12">
        <v>1400.86</v>
      </c>
      <c r="J43" s="12">
        <v>115.21</v>
      </c>
      <c r="K43" s="12">
        <v>21.85</v>
      </c>
      <c r="L43" s="12">
        <v>12.13</v>
      </c>
      <c r="M43" s="12">
        <v>4684.99</v>
      </c>
      <c r="N43" s="12">
        <v>61.52</v>
      </c>
      <c r="O43" s="12">
        <v>137.26</v>
      </c>
      <c r="P43" s="12">
        <v>15.96</v>
      </c>
      <c r="Q43" s="12">
        <v>61.68</v>
      </c>
      <c r="R43" s="12">
        <v>8.3699999999999992</v>
      </c>
      <c r="S43" s="12">
        <v>118.03</v>
      </c>
      <c r="T43" s="12">
        <v>27.01</v>
      </c>
      <c r="U43" s="12">
        <v>33910.68</v>
      </c>
      <c r="V43" s="12">
        <v>171.33</v>
      </c>
      <c r="W43" s="12" t="s">
        <v>68</v>
      </c>
      <c r="X43" s="12">
        <v>93.09</v>
      </c>
      <c r="Y43" s="12">
        <v>55.08</v>
      </c>
      <c r="Z43" s="12">
        <v>13.59</v>
      </c>
      <c r="AA43" s="12">
        <v>15.14</v>
      </c>
      <c r="AB43" s="12">
        <v>7.83</v>
      </c>
      <c r="AC43" s="12">
        <v>346.8</v>
      </c>
      <c r="AD43" s="12">
        <v>10.08</v>
      </c>
      <c r="AE43" s="12">
        <v>30.02</v>
      </c>
      <c r="AF43" s="12">
        <v>4.2</v>
      </c>
      <c r="AG43" s="12" t="s">
        <v>68</v>
      </c>
      <c r="AH43" s="12">
        <v>2.34</v>
      </c>
      <c r="AI43" s="12">
        <v>144.63</v>
      </c>
      <c r="AJ43" s="12">
        <v>2.92</v>
      </c>
      <c r="AK43" s="12">
        <v>141.59</v>
      </c>
      <c r="AL43" s="12">
        <v>2.54</v>
      </c>
      <c r="AM43" s="12">
        <v>230.13</v>
      </c>
      <c r="AN43" s="12">
        <v>3.23</v>
      </c>
      <c r="AO43" s="12">
        <v>11</v>
      </c>
      <c r="AP43" s="12">
        <v>1.75</v>
      </c>
      <c r="AQ43" s="12" t="s">
        <v>68</v>
      </c>
      <c r="AR43" s="12">
        <v>4.82</v>
      </c>
      <c r="AS43" s="12">
        <v>5.78</v>
      </c>
      <c r="AT43" s="12">
        <v>3.06</v>
      </c>
      <c r="AU43" s="12" t="s">
        <v>68</v>
      </c>
      <c r="AV43" s="12">
        <v>6.53</v>
      </c>
      <c r="AW43" s="12">
        <v>7.76</v>
      </c>
      <c r="AX43" s="12">
        <v>3.27</v>
      </c>
      <c r="AY43" s="12">
        <v>7.75</v>
      </c>
      <c r="AZ43" s="12">
        <v>4.97</v>
      </c>
      <c r="BA43" s="12">
        <v>31.05</v>
      </c>
      <c r="BB43" s="12">
        <v>10.1</v>
      </c>
      <c r="BC43" s="12">
        <v>18.760000000000002</v>
      </c>
      <c r="BD43" s="12">
        <v>3.3</v>
      </c>
      <c r="BE43" s="12">
        <v>258.20999999999998</v>
      </c>
      <c r="BF43" s="12">
        <v>15.78</v>
      </c>
      <c r="BG43" s="12" t="s">
        <v>68</v>
      </c>
      <c r="BH43" s="12">
        <v>24.18</v>
      </c>
      <c r="BI43" s="12" t="s">
        <v>68</v>
      </c>
      <c r="BJ43" s="12">
        <v>3.52</v>
      </c>
      <c r="BK43" s="12" t="s">
        <v>68</v>
      </c>
      <c r="BL43" s="12">
        <v>5.41</v>
      </c>
      <c r="BM43" s="12">
        <v>96.98</v>
      </c>
      <c r="BN43" s="12">
        <v>4.82</v>
      </c>
      <c r="BO43" s="12">
        <v>16.309999999999999</v>
      </c>
      <c r="BP43" s="12">
        <v>2.3199999999999998</v>
      </c>
      <c r="BQ43" s="12" t="s">
        <v>68</v>
      </c>
      <c r="BR43" s="12">
        <v>4.91</v>
      </c>
    </row>
    <row r="44" spans="1:70" ht="15.75" customHeight="1">
      <c r="A44" s="11">
        <v>42</v>
      </c>
      <c r="B44" s="11">
        <f t="shared" si="0"/>
        <v>1182.066633266533</v>
      </c>
      <c r="C44" s="12">
        <v>20536.16</v>
      </c>
      <c r="D44" s="12">
        <v>201.78</v>
      </c>
      <c r="E44" s="12" t="s">
        <v>68</v>
      </c>
      <c r="F44" s="12">
        <v>443.96</v>
      </c>
      <c r="G44" s="12">
        <v>22189.72</v>
      </c>
      <c r="H44" s="12">
        <v>510.01</v>
      </c>
      <c r="I44" s="12">
        <v>1420.47</v>
      </c>
      <c r="J44" s="12">
        <v>113.91</v>
      </c>
      <c r="K44" s="12">
        <v>21.39</v>
      </c>
      <c r="L44" s="12">
        <v>11.99</v>
      </c>
      <c r="M44" s="12">
        <v>4710.84</v>
      </c>
      <c r="N44" s="12">
        <v>60.74</v>
      </c>
      <c r="O44" s="12">
        <v>137.72999999999999</v>
      </c>
      <c r="P44" s="12">
        <v>15.73</v>
      </c>
      <c r="Q44" s="12">
        <v>66.94</v>
      </c>
      <c r="R44" s="12">
        <v>8.34</v>
      </c>
      <c r="S44" s="12">
        <v>105.49</v>
      </c>
      <c r="T44" s="12">
        <v>26.16</v>
      </c>
      <c r="U44" s="12">
        <v>33390.199999999997</v>
      </c>
      <c r="V44" s="12">
        <v>167.76</v>
      </c>
      <c r="W44" s="12" t="s">
        <v>68</v>
      </c>
      <c r="X44" s="12">
        <v>91.57</v>
      </c>
      <c r="Y44" s="12">
        <v>26.21</v>
      </c>
      <c r="Z44" s="12">
        <v>13.07</v>
      </c>
      <c r="AA44" s="12">
        <v>21.31</v>
      </c>
      <c r="AB44" s="12">
        <v>7.83</v>
      </c>
      <c r="AC44" s="12">
        <v>263.91000000000003</v>
      </c>
      <c r="AD44" s="12">
        <v>8.85</v>
      </c>
      <c r="AE44" s="12">
        <v>28.44</v>
      </c>
      <c r="AF44" s="12">
        <v>3.88</v>
      </c>
      <c r="AG44" s="12" t="s">
        <v>68</v>
      </c>
      <c r="AH44" s="12">
        <v>2.2599999999999998</v>
      </c>
      <c r="AI44" s="12">
        <v>139.55000000000001</v>
      </c>
      <c r="AJ44" s="12">
        <v>2.83</v>
      </c>
      <c r="AK44" s="12">
        <v>134.76</v>
      </c>
      <c r="AL44" s="12">
        <v>2.4500000000000002</v>
      </c>
      <c r="AM44" s="12">
        <v>238.53</v>
      </c>
      <c r="AN44" s="12">
        <v>3.23</v>
      </c>
      <c r="AO44" s="12">
        <v>12.57</v>
      </c>
      <c r="AP44" s="12">
        <v>1.75</v>
      </c>
      <c r="AQ44" s="12" t="s">
        <v>68</v>
      </c>
      <c r="AR44" s="12">
        <v>4.8</v>
      </c>
      <c r="AS44" s="12">
        <v>5.72</v>
      </c>
      <c r="AT44" s="12">
        <v>3.08</v>
      </c>
      <c r="AU44" s="12" t="s">
        <v>68</v>
      </c>
      <c r="AV44" s="12">
        <v>6.55</v>
      </c>
      <c r="AW44" s="12">
        <v>9.43</v>
      </c>
      <c r="AX44" s="12">
        <v>3.32</v>
      </c>
      <c r="AY44" s="12" t="s">
        <v>68</v>
      </c>
      <c r="AZ44" s="12">
        <v>7.43</v>
      </c>
      <c r="BA44" s="12" t="s">
        <v>68</v>
      </c>
      <c r="BB44" s="12">
        <v>15.02</v>
      </c>
      <c r="BC44" s="12">
        <v>9.9499999999999993</v>
      </c>
      <c r="BD44" s="12">
        <v>3.3</v>
      </c>
      <c r="BE44" s="12">
        <v>184.53</v>
      </c>
      <c r="BF44" s="12">
        <v>15.58</v>
      </c>
      <c r="BG44" s="12" t="s">
        <v>68</v>
      </c>
      <c r="BH44" s="12">
        <v>23.19</v>
      </c>
      <c r="BI44" s="12" t="s">
        <v>68</v>
      </c>
      <c r="BJ44" s="12">
        <v>3.42</v>
      </c>
      <c r="BK44" s="12">
        <v>6.28</v>
      </c>
      <c r="BL44" s="12">
        <v>3.51</v>
      </c>
      <c r="BM44" s="12">
        <v>80.27</v>
      </c>
      <c r="BN44" s="12">
        <v>4.4000000000000004</v>
      </c>
      <c r="BO44" s="12">
        <v>15.85</v>
      </c>
      <c r="BP44" s="12">
        <v>2.2400000000000002</v>
      </c>
      <c r="BQ44" s="12" t="s">
        <v>68</v>
      </c>
      <c r="BR44" s="12">
        <v>4.79</v>
      </c>
    </row>
    <row r="45" spans="1:70" ht="15.75" customHeight="1">
      <c r="A45" s="11">
        <v>43</v>
      </c>
      <c r="B45" s="11">
        <f t="shared" si="0"/>
        <v>1162.0265531062123</v>
      </c>
      <c r="C45" s="12">
        <v>20933.54</v>
      </c>
      <c r="D45" s="12">
        <v>192.69</v>
      </c>
      <c r="E45" s="12" t="s">
        <v>68</v>
      </c>
      <c r="F45" s="12">
        <v>404.31</v>
      </c>
      <c r="G45" s="12">
        <v>17085.419999999998</v>
      </c>
      <c r="H45" s="12">
        <v>425.42</v>
      </c>
      <c r="I45" s="12">
        <v>706.67</v>
      </c>
      <c r="J45" s="12">
        <v>112.28</v>
      </c>
      <c r="K45" s="12">
        <v>25.79</v>
      </c>
      <c r="L45" s="12">
        <v>10.91</v>
      </c>
      <c r="M45" s="12">
        <v>4994.58</v>
      </c>
      <c r="N45" s="12">
        <v>58.99</v>
      </c>
      <c r="O45" s="12">
        <v>125.93</v>
      </c>
      <c r="P45" s="12">
        <v>15.09</v>
      </c>
      <c r="Q45" s="12">
        <v>42.51</v>
      </c>
      <c r="R45" s="12">
        <v>7.68</v>
      </c>
      <c r="S45" s="12">
        <v>96.53</v>
      </c>
      <c r="T45" s="12">
        <v>24.87</v>
      </c>
      <c r="U45" s="12">
        <v>23401.39</v>
      </c>
      <c r="V45" s="12">
        <v>137.44</v>
      </c>
      <c r="W45" s="12" t="s">
        <v>68</v>
      </c>
      <c r="X45" s="12">
        <v>75.36</v>
      </c>
      <c r="Y45" s="12">
        <v>41.12</v>
      </c>
      <c r="Z45" s="12">
        <v>12.61</v>
      </c>
      <c r="AA45" s="12">
        <v>15.8</v>
      </c>
      <c r="AB45" s="12">
        <v>7.39</v>
      </c>
      <c r="AC45" s="12">
        <v>189.49</v>
      </c>
      <c r="AD45" s="12">
        <v>7.54</v>
      </c>
      <c r="AE45" s="12">
        <v>19.62</v>
      </c>
      <c r="AF45" s="12">
        <v>3.42</v>
      </c>
      <c r="AG45" s="12" t="s">
        <v>68</v>
      </c>
      <c r="AH45" s="12">
        <v>2.15</v>
      </c>
      <c r="AI45" s="12">
        <v>123.94</v>
      </c>
      <c r="AJ45" s="12">
        <v>2.62</v>
      </c>
      <c r="AK45" s="12">
        <v>118.9</v>
      </c>
      <c r="AL45" s="12">
        <v>2.2599999999999998</v>
      </c>
      <c r="AM45" s="12">
        <v>298.13</v>
      </c>
      <c r="AN45" s="12">
        <v>3.44</v>
      </c>
      <c r="AO45" s="12">
        <v>9.98</v>
      </c>
      <c r="AP45" s="12">
        <v>1.73</v>
      </c>
      <c r="AQ45" s="12" t="s">
        <v>68</v>
      </c>
      <c r="AR45" s="12">
        <v>4.6100000000000003</v>
      </c>
      <c r="AS45" s="12">
        <v>5.12</v>
      </c>
      <c r="AT45" s="12">
        <v>2.9</v>
      </c>
      <c r="AU45" s="12" t="s">
        <v>68</v>
      </c>
      <c r="AV45" s="12">
        <v>6.23</v>
      </c>
      <c r="AW45" s="12">
        <v>7.13</v>
      </c>
      <c r="AX45" s="12">
        <v>3.1</v>
      </c>
      <c r="AY45" s="12" t="s">
        <v>68</v>
      </c>
      <c r="AZ45" s="12">
        <v>7.01</v>
      </c>
      <c r="BA45" s="12">
        <v>18.39</v>
      </c>
      <c r="BB45" s="12">
        <v>9.52</v>
      </c>
      <c r="BC45" s="12">
        <v>13.44</v>
      </c>
      <c r="BD45" s="12">
        <v>3.12</v>
      </c>
      <c r="BE45" s="12">
        <v>190.19</v>
      </c>
      <c r="BF45" s="12">
        <v>14.69</v>
      </c>
      <c r="BG45" s="12" t="s">
        <v>68</v>
      </c>
      <c r="BH45" s="12">
        <v>22.64</v>
      </c>
      <c r="BI45" s="12" t="s">
        <v>68</v>
      </c>
      <c r="BJ45" s="12">
        <v>3.13</v>
      </c>
      <c r="BK45" s="12" t="s">
        <v>68</v>
      </c>
      <c r="BL45" s="12">
        <v>5.03</v>
      </c>
      <c r="BM45" s="12">
        <v>65.23</v>
      </c>
      <c r="BN45" s="12">
        <v>3.95</v>
      </c>
      <c r="BO45" s="12">
        <v>12.74</v>
      </c>
      <c r="BP45" s="12">
        <v>2.04</v>
      </c>
      <c r="BQ45" s="12" t="s">
        <v>68</v>
      </c>
      <c r="BR45" s="12">
        <v>4.49</v>
      </c>
    </row>
    <row r="46" spans="1:70" ht="15.75" customHeight="1">
      <c r="A46" s="11">
        <v>44</v>
      </c>
      <c r="B46" s="11">
        <f t="shared" si="0"/>
        <v>1141.9864729458918</v>
      </c>
      <c r="C46" s="12">
        <v>20379.48</v>
      </c>
      <c r="D46" s="12">
        <v>179.1</v>
      </c>
      <c r="E46" s="12" t="s">
        <v>68</v>
      </c>
      <c r="F46" s="12">
        <v>363.87</v>
      </c>
      <c r="G46" s="12">
        <v>13263.14</v>
      </c>
      <c r="H46" s="12">
        <v>354.91</v>
      </c>
      <c r="I46" s="12">
        <v>377.43</v>
      </c>
      <c r="J46" s="12">
        <v>106.16</v>
      </c>
      <c r="K46" s="12">
        <v>28.27</v>
      </c>
      <c r="L46" s="12">
        <v>9.94</v>
      </c>
      <c r="M46" s="12">
        <v>5075.8100000000004</v>
      </c>
      <c r="N46" s="12">
        <v>55.79</v>
      </c>
      <c r="O46" s="12">
        <v>124.67</v>
      </c>
      <c r="P46" s="12">
        <v>14.21</v>
      </c>
      <c r="Q46" s="12">
        <v>41.63</v>
      </c>
      <c r="R46" s="12">
        <v>7.15</v>
      </c>
      <c r="S46" s="12">
        <v>100.49</v>
      </c>
      <c r="T46" s="12">
        <v>24.42</v>
      </c>
      <c r="U46" s="12">
        <v>17887.96</v>
      </c>
      <c r="V46" s="12">
        <v>119.52</v>
      </c>
      <c r="W46" s="12" t="s">
        <v>68</v>
      </c>
      <c r="X46" s="12">
        <v>65.72</v>
      </c>
      <c r="Y46" s="12">
        <v>39.01</v>
      </c>
      <c r="Z46" s="12">
        <v>12.34</v>
      </c>
      <c r="AA46" s="12">
        <v>19.27</v>
      </c>
      <c r="AB46" s="12">
        <v>7.35</v>
      </c>
      <c r="AC46" s="12">
        <v>126.79</v>
      </c>
      <c r="AD46" s="12">
        <v>6.42</v>
      </c>
      <c r="AE46" s="12">
        <v>13.17</v>
      </c>
      <c r="AF46" s="12">
        <v>3.25</v>
      </c>
      <c r="AG46" s="12" t="s">
        <v>68</v>
      </c>
      <c r="AH46" s="12">
        <v>2.1800000000000002</v>
      </c>
      <c r="AI46" s="12">
        <v>113.47</v>
      </c>
      <c r="AJ46" s="12">
        <v>2.5</v>
      </c>
      <c r="AK46" s="12">
        <v>111.64</v>
      </c>
      <c r="AL46" s="12">
        <v>2.1800000000000002</v>
      </c>
      <c r="AM46" s="12">
        <v>282.10000000000002</v>
      </c>
      <c r="AN46" s="12">
        <v>3.33</v>
      </c>
      <c r="AO46" s="12">
        <v>8.3800000000000008</v>
      </c>
      <c r="AP46" s="12">
        <v>1.69</v>
      </c>
      <c r="AQ46" s="12" t="s">
        <v>68</v>
      </c>
      <c r="AR46" s="12">
        <v>4.5</v>
      </c>
      <c r="AS46" s="12" t="s">
        <v>68</v>
      </c>
      <c r="AT46" s="12">
        <v>4.22</v>
      </c>
      <c r="AU46" s="12" t="s">
        <v>68</v>
      </c>
      <c r="AV46" s="12">
        <v>6</v>
      </c>
      <c r="AW46" s="12">
        <v>6.87</v>
      </c>
      <c r="AX46" s="12">
        <v>3.05</v>
      </c>
      <c r="AY46" s="12">
        <v>9.8800000000000008</v>
      </c>
      <c r="AZ46" s="12">
        <v>4.67</v>
      </c>
      <c r="BA46" s="12">
        <v>17.47</v>
      </c>
      <c r="BB46" s="12">
        <v>9.3699999999999992</v>
      </c>
      <c r="BC46" s="12">
        <v>18.739999999999998</v>
      </c>
      <c r="BD46" s="12">
        <v>3.09</v>
      </c>
      <c r="BE46" s="12">
        <v>215.12</v>
      </c>
      <c r="BF46" s="12">
        <v>14.59</v>
      </c>
      <c r="BG46" s="12" t="s">
        <v>68</v>
      </c>
      <c r="BH46" s="12">
        <v>21.94</v>
      </c>
      <c r="BI46" s="12" t="s">
        <v>68</v>
      </c>
      <c r="BJ46" s="12">
        <v>3.34</v>
      </c>
      <c r="BK46" s="12">
        <v>7.83</v>
      </c>
      <c r="BL46" s="12">
        <v>3.39</v>
      </c>
      <c r="BM46" s="12">
        <v>63.05</v>
      </c>
      <c r="BN46" s="12">
        <v>3.87</v>
      </c>
      <c r="BO46" s="12">
        <v>13</v>
      </c>
      <c r="BP46" s="12">
        <v>2.0099999999999998</v>
      </c>
      <c r="BQ46" s="12" t="s">
        <v>68</v>
      </c>
      <c r="BR46" s="12">
        <v>4.37</v>
      </c>
    </row>
    <row r="47" spans="1:70" ht="15.75" customHeight="1">
      <c r="A47" s="11">
        <v>45</v>
      </c>
      <c r="B47" s="11">
        <f t="shared" si="0"/>
        <v>1121.9463927855711</v>
      </c>
      <c r="C47" s="12">
        <v>19040.03</v>
      </c>
      <c r="D47" s="12">
        <v>180.72</v>
      </c>
      <c r="E47" s="12" t="s">
        <v>68</v>
      </c>
      <c r="F47" s="12">
        <v>387.38</v>
      </c>
      <c r="G47" s="12">
        <v>17641.82</v>
      </c>
      <c r="H47" s="12">
        <v>423.91</v>
      </c>
      <c r="I47" s="12">
        <v>617.32000000000005</v>
      </c>
      <c r="J47" s="12">
        <v>108.51</v>
      </c>
      <c r="K47" s="12">
        <v>18.59</v>
      </c>
      <c r="L47" s="12">
        <v>10.37</v>
      </c>
      <c r="M47" s="12">
        <v>4335.9399999999996</v>
      </c>
      <c r="N47" s="12">
        <v>54.51</v>
      </c>
      <c r="O47" s="12">
        <v>105.8</v>
      </c>
      <c r="P47" s="12">
        <v>14</v>
      </c>
      <c r="Q47" s="12">
        <v>44</v>
      </c>
      <c r="R47" s="12">
        <v>7.43</v>
      </c>
      <c r="S47" s="12">
        <v>78.27</v>
      </c>
      <c r="T47" s="12">
        <v>24.51</v>
      </c>
      <c r="U47" s="12">
        <v>23797.14</v>
      </c>
      <c r="V47" s="12">
        <v>139.75</v>
      </c>
      <c r="W47" s="12" t="s">
        <v>68</v>
      </c>
      <c r="X47" s="12">
        <v>76.489999999999995</v>
      </c>
      <c r="Y47" s="12">
        <v>38.32</v>
      </c>
      <c r="Z47" s="12">
        <v>12.67</v>
      </c>
      <c r="AA47" s="12">
        <v>15.92</v>
      </c>
      <c r="AB47" s="12">
        <v>7.45</v>
      </c>
      <c r="AC47" s="12">
        <v>168.41</v>
      </c>
      <c r="AD47" s="12">
        <v>7.25</v>
      </c>
      <c r="AE47" s="12">
        <v>18.59</v>
      </c>
      <c r="AF47" s="12">
        <v>3.38</v>
      </c>
      <c r="AG47" s="12" t="s">
        <v>68</v>
      </c>
      <c r="AH47" s="12">
        <v>2.1800000000000002</v>
      </c>
      <c r="AI47" s="12">
        <v>106.24</v>
      </c>
      <c r="AJ47" s="12">
        <v>2.4700000000000002</v>
      </c>
      <c r="AK47" s="12">
        <v>107.16</v>
      </c>
      <c r="AL47" s="12">
        <v>2.17</v>
      </c>
      <c r="AM47" s="12">
        <v>256.52999999999997</v>
      </c>
      <c r="AN47" s="12">
        <v>3.24</v>
      </c>
      <c r="AO47" s="12">
        <v>7.31</v>
      </c>
      <c r="AP47" s="12">
        <v>1.68</v>
      </c>
      <c r="AQ47" s="12" t="s">
        <v>68</v>
      </c>
      <c r="AR47" s="12">
        <v>4.59</v>
      </c>
      <c r="AS47" s="12">
        <v>6.41</v>
      </c>
      <c r="AT47" s="12">
        <v>2.94</v>
      </c>
      <c r="AU47" s="12" t="s">
        <v>68</v>
      </c>
      <c r="AV47" s="12">
        <v>6.25</v>
      </c>
      <c r="AW47" s="12">
        <v>5.38</v>
      </c>
      <c r="AX47" s="12">
        <v>3.11</v>
      </c>
      <c r="AY47" s="12">
        <v>8.5399999999999991</v>
      </c>
      <c r="AZ47" s="12">
        <v>4.7699999999999996</v>
      </c>
      <c r="BA47" s="12">
        <v>22.54</v>
      </c>
      <c r="BB47" s="12">
        <v>9.61</v>
      </c>
      <c r="BC47" s="12">
        <v>16.79</v>
      </c>
      <c r="BD47" s="12">
        <v>3.15</v>
      </c>
      <c r="BE47" s="12">
        <v>201.99</v>
      </c>
      <c r="BF47" s="12">
        <v>14.83</v>
      </c>
      <c r="BG47" s="12" t="s">
        <v>68</v>
      </c>
      <c r="BH47" s="12">
        <v>22.35</v>
      </c>
      <c r="BI47" s="12" t="s">
        <v>68</v>
      </c>
      <c r="BJ47" s="12">
        <v>3.34</v>
      </c>
      <c r="BK47" s="12" t="s">
        <v>68</v>
      </c>
      <c r="BL47" s="12">
        <v>5.05</v>
      </c>
      <c r="BM47" s="12">
        <v>62.38</v>
      </c>
      <c r="BN47" s="12">
        <v>3.91</v>
      </c>
      <c r="BO47" s="12">
        <v>10.85</v>
      </c>
      <c r="BP47" s="12">
        <v>1.99</v>
      </c>
      <c r="BQ47" s="12">
        <v>4.6500000000000004</v>
      </c>
      <c r="BR47" s="12">
        <v>2.92</v>
      </c>
    </row>
    <row r="48" spans="1:70" ht="15.75" customHeight="1">
      <c r="A48" s="11">
        <v>46</v>
      </c>
      <c r="B48" s="11">
        <f t="shared" si="0"/>
        <v>1101.9063126252504</v>
      </c>
      <c r="C48" s="12">
        <v>19224.54</v>
      </c>
      <c r="D48" s="12">
        <v>185.54</v>
      </c>
      <c r="E48" s="12" t="s">
        <v>68</v>
      </c>
      <c r="F48" s="12">
        <v>398.72</v>
      </c>
      <c r="G48" s="12">
        <v>17950.21</v>
      </c>
      <c r="H48" s="12">
        <v>437</v>
      </c>
      <c r="I48" s="12">
        <v>1096.82</v>
      </c>
      <c r="J48" s="12">
        <v>111.27</v>
      </c>
      <c r="K48" s="12">
        <v>23.87</v>
      </c>
      <c r="L48" s="12">
        <v>11.3</v>
      </c>
      <c r="M48" s="12">
        <v>4529.03</v>
      </c>
      <c r="N48" s="12">
        <v>56.78</v>
      </c>
      <c r="O48" s="12">
        <v>121.06</v>
      </c>
      <c r="P48" s="12">
        <v>14.64</v>
      </c>
      <c r="Q48" s="12">
        <v>42.98</v>
      </c>
      <c r="R48" s="12">
        <v>7.63</v>
      </c>
      <c r="S48" s="12">
        <v>122.03</v>
      </c>
      <c r="T48" s="12">
        <v>25.62</v>
      </c>
      <c r="U48" s="12">
        <v>25500.61</v>
      </c>
      <c r="V48" s="12">
        <v>143.94999999999999</v>
      </c>
      <c r="W48" s="12" t="s">
        <v>68</v>
      </c>
      <c r="X48" s="12">
        <v>78.12</v>
      </c>
      <c r="Y48" s="12">
        <v>51.38</v>
      </c>
      <c r="Z48" s="12">
        <v>12.81</v>
      </c>
      <c r="AA48" s="12">
        <v>15.98</v>
      </c>
      <c r="AB48" s="12">
        <v>7.47</v>
      </c>
      <c r="AC48" s="12">
        <v>205.36</v>
      </c>
      <c r="AD48" s="12">
        <v>7.82</v>
      </c>
      <c r="AE48" s="12">
        <v>21.19</v>
      </c>
      <c r="AF48" s="12">
        <v>3.53</v>
      </c>
      <c r="AG48" s="12" t="s">
        <v>68</v>
      </c>
      <c r="AH48" s="12">
        <v>2.19</v>
      </c>
      <c r="AI48" s="12">
        <v>115.56</v>
      </c>
      <c r="AJ48" s="12">
        <v>2.54</v>
      </c>
      <c r="AK48" s="12">
        <v>111.81</v>
      </c>
      <c r="AL48" s="12">
        <v>2.2000000000000002</v>
      </c>
      <c r="AM48" s="12">
        <v>258.93</v>
      </c>
      <c r="AN48" s="12">
        <v>3.24</v>
      </c>
      <c r="AO48" s="12">
        <v>7.42</v>
      </c>
      <c r="AP48" s="12">
        <v>1.68</v>
      </c>
      <c r="AQ48" s="12" t="s">
        <v>68</v>
      </c>
      <c r="AR48" s="12">
        <v>4.7300000000000004</v>
      </c>
      <c r="AS48" s="12" t="s">
        <v>68</v>
      </c>
      <c r="AT48" s="12">
        <v>4.42</v>
      </c>
      <c r="AU48" s="12" t="s">
        <v>68</v>
      </c>
      <c r="AV48" s="12">
        <v>6.36</v>
      </c>
      <c r="AW48" s="12">
        <v>9.35</v>
      </c>
      <c r="AX48" s="12">
        <v>3.19</v>
      </c>
      <c r="AY48" s="12" t="s">
        <v>68</v>
      </c>
      <c r="AZ48" s="12">
        <v>7.23</v>
      </c>
      <c r="BA48" s="12">
        <v>22.61</v>
      </c>
      <c r="BB48" s="12">
        <v>9.75</v>
      </c>
      <c r="BC48" s="12">
        <v>21.25</v>
      </c>
      <c r="BD48" s="12">
        <v>3.22</v>
      </c>
      <c r="BE48" s="12">
        <v>251.61</v>
      </c>
      <c r="BF48" s="12">
        <v>15.29</v>
      </c>
      <c r="BG48" s="12" t="s">
        <v>68</v>
      </c>
      <c r="BH48" s="12">
        <v>23.05</v>
      </c>
      <c r="BI48" s="12">
        <v>3.67</v>
      </c>
      <c r="BJ48" s="12">
        <v>2.2599999999999998</v>
      </c>
      <c r="BK48" s="12" t="s">
        <v>68</v>
      </c>
      <c r="BL48" s="12">
        <v>5.09</v>
      </c>
      <c r="BM48" s="12">
        <v>70.11</v>
      </c>
      <c r="BN48" s="12">
        <v>4.07</v>
      </c>
      <c r="BO48" s="12">
        <v>11.72</v>
      </c>
      <c r="BP48" s="12">
        <v>2.0299999999999998</v>
      </c>
      <c r="BQ48" s="12" t="s">
        <v>68</v>
      </c>
      <c r="BR48" s="12">
        <v>4.3899999999999997</v>
      </c>
    </row>
    <row r="49" spans="1:70" ht="15.75" customHeight="1">
      <c r="A49" s="11">
        <v>47</v>
      </c>
      <c r="B49" s="11">
        <f t="shared" si="0"/>
        <v>1081.8662324649299</v>
      </c>
      <c r="C49" s="12">
        <v>19131.939999999999</v>
      </c>
      <c r="D49" s="12">
        <v>180.83</v>
      </c>
      <c r="E49" s="12" t="s">
        <v>68</v>
      </c>
      <c r="F49" s="12">
        <v>380.49</v>
      </c>
      <c r="G49" s="12">
        <v>16356.01</v>
      </c>
      <c r="H49" s="12">
        <v>408.27</v>
      </c>
      <c r="I49" s="12">
        <v>578.79999999999995</v>
      </c>
      <c r="J49" s="12">
        <v>109.99</v>
      </c>
      <c r="K49" s="12">
        <v>23.18</v>
      </c>
      <c r="L49" s="12">
        <v>10.6</v>
      </c>
      <c r="M49" s="12">
        <v>4844.1099999999997</v>
      </c>
      <c r="N49" s="12">
        <v>56.71</v>
      </c>
      <c r="O49" s="12">
        <v>112</v>
      </c>
      <c r="P49" s="12">
        <v>14.4</v>
      </c>
      <c r="Q49" s="12">
        <v>50.28</v>
      </c>
      <c r="R49" s="12">
        <v>7.5</v>
      </c>
      <c r="S49" s="12">
        <v>83.36</v>
      </c>
      <c r="T49" s="12">
        <v>24.34</v>
      </c>
      <c r="U49" s="12">
        <v>22429.22</v>
      </c>
      <c r="V49" s="12">
        <v>134.04</v>
      </c>
      <c r="W49" s="12" t="s">
        <v>68</v>
      </c>
      <c r="X49" s="12">
        <v>73.180000000000007</v>
      </c>
      <c r="Y49" s="12">
        <v>40.46</v>
      </c>
      <c r="Z49" s="12">
        <v>12.51</v>
      </c>
      <c r="AA49" s="12">
        <v>20.72</v>
      </c>
      <c r="AB49" s="12">
        <v>7.47</v>
      </c>
      <c r="AC49" s="12">
        <v>157.1</v>
      </c>
      <c r="AD49" s="12">
        <v>6.98</v>
      </c>
      <c r="AE49" s="12">
        <v>19.23</v>
      </c>
      <c r="AF49" s="12">
        <v>3.29</v>
      </c>
      <c r="AG49" s="12" t="s">
        <v>68</v>
      </c>
      <c r="AH49" s="12">
        <v>2.16</v>
      </c>
      <c r="AI49" s="12">
        <v>105.52</v>
      </c>
      <c r="AJ49" s="12">
        <v>2.42</v>
      </c>
      <c r="AK49" s="12">
        <v>104.84</v>
      </c>
      <c r="AL49" s="12">
        <v>2.12</v>
      </c>
      <c r="AM49" s="12">
        <v>263.61</v>
      </c>
      <c r="AN49" s="12">
        <v>3.23</v>
      </c>
      <c r="AO49" s="12">
        <v>6.49</v>
      </c>
      <c r="AP49" s="12">
        <v>1.66</v>
      </c>
      <c r="AQ49" s="12" t="s">
        <v>68</v>
      </c>
      <c r="AR49" s="12">
        <v>4.6399999999999997</v>
      </c>
      <c r="AS49" s="12" t="s">
        <v>68</v>
      </c>
      <c r="AT49" s="12">
        <v>4.32</v>
      </c>
      <c r="AU49" s="12" t="s">
        <v>68</v>
      </c>
      <c r="AV49" s="12">
        <v>6.18</v>
      </c>
      <c r="AW49" s="12">
        <v>8.69</v>
      </c>
      <c r="AX49" s="12">
        <v>3.14</v>
      </c>
      <c r="AY49" s="12" t="s">
        <v>68</v>
      </c>
      <c r="AZ49" s="12">
        <v>7.07</v>
      </c>
      <c r="BA49" s="12" t="s">
        <v>68</v>
      </c>
      <c r="BB49" s="12">
        <v>14.31</v>
      </c>
      <c r="BC49" s="12">
        <v>12.41</v>
      </c>
      <c r="BD49" s="12">
        <v>3.14</v>
      </c>
      <c r="BE49" s="12">
        <v>171.55</v>
      </c>
      <c r="BF49" s="12">
        <v>14.7</v>
      </c>
      <c r="BG49" s="12" t="s">
        <v>68</v>
      </c>
      <c r="BH49" s="12">
        <v>22.48</v>
      </c>
      <c r="BI49" s="12" t="s">
        <v>68</v>
      </c>
      <c r="BJ49" s="12">
        <v>3.32</v>
      </c>
      <c r="BK49" s="12" t="s">
        <v>68</v>
      </c>
      <c r="BL49" s="12">
        <v>5.04</v>
      </c>
      <c r="BM49" s="12">
        <v>59.42</v>
      </c>
      <c r="BN49" s="12">
        <v>3.79</v>
      </c>
      <c r="BO49" s="12">
        <v>9.86</v>
      </c>
      <c r="BP49" s="12">
        <v>1.93</v>
      </c>
      <c r="BQ49" s="12" t="s">
        <v>68</v>
      </c>
      <c r="BR49" s="12">
        <v>4.28</v>
      </c>
    </row>
    <row r="50" spans="1:70" ht="15.75" customHeight="1">
      <c r="A50" s="11">
        <v>48</v>
      </c>
      <c r="B50" s="11">
        <f t="shared" si="0"/>
        <v>1061.8261523046092</v>
      </c>
      <c r="C50" s="12">
        <v>19999</v>
      </c>
      <c r="D50" s="12">
        <v>187.7</v>
      </c>
      <c r="E50" s="12" t="s">
        <v>68</v>
      </c>
      <c r="F50" s="12">
        <v>380.01</v>
      </c>
      <c r="G50" s="12">
        <v>17311.39</v>
      </c>
      <c r="H50" s="12">
        <v>426.36</v>
      </c>
      <c r="I50" s="12">
        <v>785.42</v>
      </c>
      <c r="J50" s="12">
        <v>111.91</v>
      </c>
      <c r="K50" s="12">
        <v>29.82</v>
      </c>
      <c r="L50" s="12">
        <v>11.2</v>
      </c>
      <c r="M50" s="12">
        <v>4806.12</v>
      </c>
      <c r="N50" s="12">
        <v>57.74</v>
      </c>
      <c r="O50" s="12">
        <v>119.9</v>
      </c>
      <c r="P50" s="12">
        <v>14.77</v>
      </c>
      <c r="Q50" s="12">
        <v>55.38</v>
      </c>
      <c r="R50" s="12">
        <v>7.7</v>
      </c>
      <c r="S50" s="12">
        <v>117.22</v>
      </c>
      <c r="T50" s="12">
        <v>25.76</v>
      </c>
      <c r="U50" s="12">
        <v>24431.95</v>
      </c>
      <c r="V50" s="12">
        <v>142.01</v>
      </c>
      <c r="W50" s="12" t="s">
        <v>68</v>
      </c>
      <c r="X50" s="12">
        <v>77.599999999999994</v>
      </c>
      <c r="Y50" s="12">
        <v>60.11</v>
      </c>
      <c r="Z50" s="12">
        <v>13.02</v>
      </c>
      <c r="AA50" s="12">
        <v>16.79</v>
      </c>
      <c r="AB50" s="12">
        <v>7.54</v>
      </c>
      <c r="AC50" s="12">
        <v>164.06</v>
      </c>
      <c r="AD50" s="12">
        <v>7.22</v>
      </c>
      <c r="AE50" s="12">
        <v>25.42</v>
      </c>
      <c r="AF50" s="12">
        <v>3.47</v>
      </c>
      <c r="AG50" s="12" t="s">
        <v>68</v>
      </c>
      <c r="AH50" s="12">
        <v>2.25</v>
      </c>
      <c r="AI50" s="12">
        <v>116.06</v>
      </c>
      <c r="AJ50" s="12">
        <v>2.57</v>
      </c>
      <c r="AK50" s="12">
        <v>111.75</v>
      </c>
      <c r="AL50" s="12">
        <v>2.2200000000000002</v>
      </c>
      <c r="AM50" s="12">
        <v>271.36</v>
      </c>
      <c r="AN50" s="12">
        <v>3.33</v>
      </c>
      <c r="AO50" s="12">
        <v>7.42</v>
      </c>
      <c r="AP50" s="12">
        <v>1.7</v>
      </c>
      <c r="AQ50" s="12" t="s">
        <v>68</v>
      </c>
      <c r="AR50" s="12">
        <v>4.7699999999999996</v>
      </c>
      <c r="AS50" s="12" t="s">
        <v>68</v>
      </c>
      <c r="AT50" s="12">
        <v>4.37</v>
      </c>
      <c r="AU50" s="12">
        <v>7.17</v>
      </c>
      <c r="AV50" s="12">
        <v>4.26</v>
      </c>
      <c r="AW50" s="12">
        <v>13.29</v>
      </c>
      <c r="AX50" s="12">
        <v>3.22</v>
      </c>
      <c r="AY50" s="12">
        <v>12.75</v>
      </c>
      <c r="AZ50" s="12">
        <v>4.87</v>
      </c>
      <c r="BA50" s="12">
        <v>33.42</v>
      </c>
      <c r="BB50" s="12">
        <v>9.82</v>
      </c>
      <c r="BC50" s="12">
        <v>28.66</v>
      </c>
      <c r="BD50" s="12">
        <v>3.24</v>
      </c>
      <c r="BE50" s="12">
        <v>269.83</v>
      </c>
      <c r="BF50" s="12">
        <v>15.37</v>
      </c>
      <c r="BG50" s="12" t="s">
        <v>68</v>
      </c>
      <c r="BH50" s="12">
        <v>23.31</v>
      </c>
      <c r="BI50" s="12">
        <v>3.74</v>
      </c>
      <c r="BJ50" s="12">
        <v>2.29</v>
      </c>
      <c r="BK50" s="12" t="s">
        <v>68</v>
      </c>
      <c r="BL50" s="12">
        <v>5.16</v>
      </c>
      <c r="BM50" s="12">
        <v>60.28</v>
      </c>
      <c r="BN50" s="12">
        <v>3.88</v>
      </c>
      <c r="BO50" s="12">
        <v>11.3</v>
      </c>
      <c r="BP50" s="12">
        <v>2.0099999999999998</v>
      </c>
      <c r="BQ50" s="12" t="s">
        <v>68</v>
      </c>
      <c r="BR50" s="12">
        <v>4.47</v>
      </c>
    </row>
    <row r="51" spans="1:70" ht="15.75" customHeight="1">
      <c r="A51" s="11">
        <v>49</v>
      </c>
      <c r="B51" s="11">
        <f t="shared" si="0"/>
        <v>1041.7860721442885</v>
      </c>
      <c r="C51" s="12">
        <v>20880.150000000001</v>
      </c>
      <c r="D51" s="12">
        <v>192.93</v>
      </c>
      <c r="E51" s="12">
        <v>513.46</v>
      </c>
      <c r="F51" s="12">
        <v>292.04000000000002</v>
      </c>
      <c r="G51" s="12">
        <v>17498.509999999998</v>
      </c>
      <c r="H51" s="12">
        <v>431.51</v>
      </c>
      <c r="I51" s="12">
        <v>491.41</v>
      </c>
      <c r="J51" s="12">
        <v>112.86</v>
      </c>
      <c r="K51" s="12">
        <v>26.03</v>
      </c>
      <c r="L51" s="12">
        <v>10.82</v>
      </c>
      <c r="M51" s="12">
        <v>4969.3999999999996</v>
      </c>
      <c r="N51" s="12">
        <v>59.27</v>
      </c>
      <c r="O51" s="12">
        <v>127.24</v>
      </c>
      <c r="P51" s="12">
        <v>15.2</v>
      </c>
      <c r="Q51" s="12">
        <v>50.14</v>
      </c>
      <c r="R51" s="12">
        <v>7.8</v>
      </c>
      <c r="S51" s="12">
        <v>121.31</v>
      </c>
      <c r="T51" s="12">
        <v>25.46</v>
      </c>
      <c r="U51" s="12">
        <v>23819.87</v>
      </c>
      <c r="V51" s="12">
        <v>138.86000000000001</v>
      </c>
      <c r="W51" s="12" t="s">
        <v>68</v>
      </c>
      <c r="X51" s="12">
        <v>75.78</v>
      </c>
      <c r="Y51" s="12">
        <v>51.18</v>
      </c>
      <c r="Z51" s="12">
        <v>12.71</v>
      </c>
      <c r="AA51" s="12">
        <v>16.37</v>
      </c>
      <c r="AB51" s="12">
        <v>7.4</v>
      </c>
      <c r="AC51" s="12">
        <v>149.32</v>
      </c>
      <c r="AD51" s="12">
        <v>6.89</v>
      </c>
      <c r="AE51" s="12">
        <v>23.12</v>
      </c>
      <c r="AF51" s="12">
        <v>3.25</v>
      </c>
      <c r="AG51" s="12" t="s">
        <v>68</v>
      </c>
      <c r="AH51" s="12">
        <v>2.19</v>
      </c>
      <c r="AI51" s="12">
        <v>111.6</v>
      </c>
      <c r="AJ51" s="12">
        <v>2.5</v>
      </c>
      <c r="AK51" s="12">
        <v>107.86</v>
      </c>
      <c r="AL51" s="12">
        <v>2.16</v>
      </c>
      <c r="AM51" s="12">
        <v>290.98</v>
      </c>
      <c r="AN51" s="12">
        <v>3.4</v>
      </c>
      <c r="AO51" s="12">
        <v>9.0399999999999991</v>
      </c>
      <c r="AP51" s="12">
        <v>1.71</v>
      </c>
      <c r="AQ51" s="12" t="s">
        <v>68</v>
      </c>
      <c r="AR51" s="12">
        <v>4.59</v>
      </c>
      <c r="AS51" s="12" t="s">
        <v>68</v>
      </c>
      <c r="AT51" s="12">
        <v>4.3099999999999996</v>
      </c>
      <c r="AU51" s="12">
        <v>6.5</v>
      </c>
      <c r="AV51" s="12">
        <v>4.1900000000000004</v>
      </c>
      <c r="AW51" s="12">
        <v>8.86</v>
      </c>
      <c r="AX51" s="12">
        <v>3.13</v>
      </c>
      <c r="AY51" s="12" t="s">
        <v>68</v>
      </c>
      <c r="AZ51" s="12">
        <v>7.11</v>
      </c>
      <c r="BA51" s="12">
        <v>30.92</v>
      </c>
      <c r="BB51" s="12">
        <v>9.65</v>
      </c>
      <c r="BC51" s="12">
        <v>26.64</v>
      </c>
      <c r="BD51" s="12">
        <v>3.18</v>
      </c>
      <c r="BE51" s="12">
        <v>243.49</v>
      </c>
      <c r="BF51" s="12">
        <v>15.01</v>
      </c>
      <c r="BG51" s="12" t="s">
        <v>68</v>
      </c>
      <c r="BH51" s="12">
        <v>22.8</v>
      </c>
      <c r="BI51" s="12" t="s">
        <v>68</v>
      </c>
      <c r="BJ51" s="12">
        <v>3.29</v>
      </c>
      <c r="BK51" s="12" t="s">
        <v>68</v>
      </c>
      <c r="BL51" s="12">
        <v>5.09</v>
      </c>
      <c r="BM51" s="12">
        <v>51.93</v>
      </c>
      <c r="BN51" s="12">
        <v>3.63</v>
      </c>
      <c r="BO51" s="12">
        <v>12.93</v>
      </c>
      <c r="BP51" s="12">
        <v>2.0099999999999998</v>
      </c>
      <c r="BQ51" s="12" t="s">
        <v>68</v>
      </c>
      <c r="BR51" s="12">
        <v>4.3899999999999997</v>
      </c>
    </row>
    <row r="52" spans="1:70" ht="15.75" customHeight="1"/>
    <row r="53" spans="1:70" ht="15.75" customHeight="1"/>
    <row r="54" spans="1:70" ht="15.75" customHeight="1"/>
    <row r="55" spans="1:70" ht="15.75" customHeight="1"/>
    <row r="56" spans="1:70" ht="15.75" customHeight="1"/>
    <row r="57" spans="1:70" ht="15.75" customHeight="1"/>
    <row r="58" spans="1:70" ht="15.75" customHeight="1"/>
    <row r="59" spans="1:70" ht="15.75" customHeight="1"/>
    <row r="60" spans="1:70" ht="15.75" customHeight="1"/>
    <row r="61" spans="1:70" ht="15.75" customHeight="1"/>
    <row r="62" spans="1:70" ht="15.75" customHeight="1"/>
    <row r="63" spans="1:70" ht="15.75" customHeight="1"/>
    <row r="64" spans="1:7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A08F-A561-476B-9426-0919CDAE5361}">
  <dimension ref="A1:BS9"/>
  <sheetViews>
    <sheetView workbookViewId="0">
      <selection activeCell="C2" sqref="C2:C9"/>
    </sheetView>
  </sheetViews>
  <sheetFormatPr baseColWidth="10" defaultColWidth="14.453125" defaultRowHeight="15" customHeight="1"/>
  <cols>
    <col min="1" max="16384" width="14.453125" style="7"/>
  </cols>
  <sheetData>
    <row r="1" spans="1:71" ht="14.5">
      <c r="A1" s="13" t="s">
        <v>70</v>
      </c>
      <c r="B1" s="13" t="s">
        <v>69</v>
      </c>
      <c r="C1" s="13" t="s">
        <v>179</v>
      </c>
      <c r="D1" s="13" t="s">
        <v>0</v>
      </c>
      <c r="E1" s="13" t="s">
        <v>1</v>
      </c>
      <c r="F1" s="13" t="s">
        <v>2</v>
      </c>
      <c r="G1" s="13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  <c r="T1" s="13" t="s">
        <v>16</v>
      </c>
      <c r="U1" s="13" t="s">
        <v>17</v>
      </c>
      <c r="V1" s="13" t="s">
        <v>18</v>
      </c>
      <c r="W1" s="13" t="s">
        <v>19</v>
      </c>
      <c r="X1" s="13" t="s">
        <v>20</v>
      </c>
      <c r="Y1" s="13" t="s">
        <v>21</v>
      </c>
      <c r="Z1" s="13" t="s">
        <v>22</v>
      </c>
      <c r="AA1" s="13" t="s">
        <v>23</v>
      </c>
      <c r="AB1" s="13" t="s">
        <v>24</v>
      </c>
      <c r="AC1" s="13" t="s">
        <v>25</v>
      </c>
      <c r="AD1" s="13" t="s">
        <v>26</v>
      </c>
      <c r="AE1" s="13" t="s">
        <v>27</v>
      </c>
      <c r="AF1" s="13" t="s">
        <v>28</v>
      </c>
      <c r="AG1" s="13" t="s">
        <v>29</v>
      </c>
      <c r="AH1" s="13" t="s">
        <v>30</v>
      </c>
      <c r="AI1" s="13" t="s">
        <v>31</v>
      </c>
      <c r="AJ1" s="13" t="s">
        <v>32</v>
      </c>
      <c r="AK1" s="13" t="s">
        <v>33</v>
      </c>
      <c r="AL1" s="13" t="s">
        <v>34</v>
      </c>
      <c r="AM1" s="13" t="s">
        <v>35</v>
      </c>
      <c r="AN1" s="13" t="s">
        <v>36</v>
      </c>
      <c r="AO1" s="13" t="s">
        <v>37</v>
      </c>
      <c r="AP1" s="13" t="s">
        <v>38</v>
      </c>
      <c r="AQ1" s="13" t="s">
        <v>39</v>
      </c>
      <c r="AR1" s="13" t="s">
        <v>40</v>
      </c>
      <c r="AS1" s="13" t="s">
        <v>41</v>
      </c>
      <c r="AT1" s="13" t="s">
        <v>42</v>
      </c>
      <c r="AU1" s="13" t="s">
        <v>43</v>
      </c>
      <c r="AV1" s="13" t="s">
        <v>44</v>
      </c>
      <c r="AW1" s="13" t="s">
        <v>45</v>
      </c>
      <c r="AX1" s="13" t="s">
        <v>46</v>
      </c>
      <c r="AY1" s="13" t="s">
        <v>47</v>
      </c>
      <c r="AZ1" s="13" t="s">
        <v>48</v>
      </c>
      <c r="BA1" s="13" t="s">
        <v>49</v>
      </c>
      <c r="BB1" s="13" t="s">
        <v>50</v>
      </c>
      <c r="BC1" s="13" t="s">
        <v>51</v>
      </c>
      <c r="BD1" s="13" t="s">
        <v>52</v>
      </c>
      <c r="BE1" s="13" t="s">
        <v>53</v>
      </c>
      <c r="BF1" s="13" t="s">
        <v>54</v>
      </c>
      <c r="BG1" s="13" t="s">
        <v>55</v>
      </c>
      <c r="BH1" s="13" t="s">
        <v>56</v>
      </c>
      <c r="BI1" s="13" t="s">
        <v>57</v>
      </c>
      <c r="BJ1" s="13" t="s">
        <v>58</v>
      </c>
      <c r="BK1" s="13" t="s">
        <v>59</v>
      </c>
      <c r="BL1" s="13" t="s">
        <v>60</v>
      </c>
      <c r="BM1" s="13" t="s">
        <v>61</v>
      </c>
      <c r="BN1" s="13" t="s">
        <v>62</v>
      </c>
      <c r="BO1" s="13" t="s">
        <v>63</v>
      </c>
      <c r="BP1" s="13" t="s">
        <v>64</v>
      </c>
      <c r="BQ1" s="13" t="s">
        <v>65</v>
      </c>
      <c r="BR1" s="13" t="s">
        <v>66</v>
      </c>
      <c r="BS1" s="13" t="s">
        <v>67</v>
      </c>
    </row>
    <row r="2" spans="1:71" ht="14.5">
      <c r="A2" s="14" t="s">
        <v>171</v>
      </c>
      <c r="B2" s="14">
        <v>9</v>
      </c>
      <c r="C2" s="14">
        <f>2023.75-(B2/0.0499)</f>
        <v>1843.3892785571143</v>
      </c>
      <c r="D2" s="6">
        <v>19494.84</v>
      </c>
      <c r="E2" s="6">
        <v>205.61</v>
      </c>
      <c r="F2" s="6">
        <v>1277.4000000000001</v>
      </c>
      <c r="G2" s="6">
        <v>372.03</v>
      </c>
      <c r="H2" s="6">
        <v>1714.79</v>
      </c>
      <c r="I2" s="6">
        <v>187.5</v>
      </c>
      <c r="J2" s="6">
        <v>3797.49</v>
      </c>
      <c r="K2" s="6">
        <v>133.63</v>
      </c>
      <c r="L2" s="6">
        <v>46.15</v>
      </c>
      <c r="M2" s="6">
        <v>16.93</v>
      </c>
      <c r="N2" s="6">
        <v>4931.5200000000004</v>
      </c>
      <c r="O2" s="6">
        <v>65.59</v>
      </c>
      <c r="P2" s="6">
        <v>127.75</v>
      </c>
      <c r="Q2" s="6">
        <v>16.88</v>
      </c>
      <c r="R2" s="6">
        <v>59.87</v>
      </c>
      <c r="S2" s="6">
        <v>8.7899999999999991</v>
      </c>
      <c r="T2" s="14" t="s">
        <v>68</v>
      </c>
      <c r="U2" s="6">
        <v>36.04</v>
      </c>
      <c r="V2" s="6">
        <v>38961.81</v>
      </c>
      <c r="W2" s="6">
        <v>179.37</v>
      </c>
      <c r="X2" s="14" t="s">
        <v>68</v>
      </c>
      <c r="Y2" s="6">
        <v>96.7</v>
      </c>
      <c r="Z2" s="14" t="s">
        <v>68</v>
      </c>
      <c r="AA2" s="6">
        <v>19.149999999999999</v>
      </c>
      <c r="AB2" s="6">
        <v>22.23</v>
      </c>
      <c r="AC2" s="6">
        <v>7.87</v>
      </c>
      <c r="AD2" s="6">
        <v>204.15</v>
      </c>
      <c r="AE2" s="6">
        <v>7.9</v>
      </c>
      <c r="AF2" s="6">
        <v>38.880000000000003</v>
      </c>
      <c r="AG2" s="6">
        <v>3.88</v>
      </c>
      <c r="AH2" s="14" t="s">
        <v>68</v>
      </c>
      <c r="AI2" s="6">
        <v>2.25</v>
      </c>
      <c r="AJ2" s="6">
        <v>155.18</v>
      </c>
      <c r="AK2" s="6">
        <v>2.94</v>
      </c>
      <c r="AL2" s="6">
        <v>146.43</v>
      </c>
      <c r="AM2" s="6">
        <v>2.52</v>
      </c>
      <c r="AN2" s="6">
        <v>281.74</v>
      </c>
      <c r="AO2" s="6">
        <v>3.43</v>
      </c>
      <c r="AP2" s="6">
        <v>8.4600000000000009</v>
      </c>
      <c r="AQ2" s="6">
        <v>1.73</v>
      </c>
      <c r="AR2" s="14" t="s">
        <v>68</v>
      </c>
      <c r="AS2" s="6">
        <v>4.22</v>
      </c>
      <c r="AT2" s="14" t="s">
        <v>68</v>
      </c>
      <c r="AU2" s="6">
        <v>4.01</v>
      </c>
      <c r="AV2" s="14" t="s">
        <v>68</v>
      </c>
      <c r="AW2" s="6">
        <v>5.68</v>
      </c>
      <c r="AX2" s="14" t="s">
        <v>68</v>
      </c>
      <c r="AY2" s="6">
        <v>4.18</v>
      </c>
      <c r="AZ2" s="14" t="s">
        <v>68</v>
      </c>
      <c r="BA2" s="6">
        <v>6.36</v>
      </c>
      <c r="BB2" s="14" t="s">
        <v>68</v>
      </c>
      <c r="BC2" s="6">
        <v>12.68</v>
      </c>
      <c r="BD2" s="14" t="s">
        <v>68</v>
      </c>
      <c r="BE2" s="6">
        <v>4.2699999999999996</v>
      </c>
      <c r="BF2" s="14" t="s">
        <v>68</v>
      </c>
      <c r="BG2" s="6">
        <v>19.68</v>
      </c>
      <c r="BH2" s="14" t="s">
        <v>68</v>
      </c>
      <c r="BI2" s="6">
        <v>23.27</v>
      </c>
      <c r="BJ2" s="14" t="s">
        <v>68</v>
      </c>
      <c r="BK2" s="6">
        <v>3.39</v>
      </c>
      <c r="BL2" s="14" t="s">
        <v>68</v>
      </c>
      <c r="BM2" s="6">
        <v>5.17</v>
      </c>
      <c r="BN2" s="6">
        <v>72.53</v>
      </c>
      <c r="BO2" s="6">
        <v>4.2</v>
      </c>
      <c r="BP2" s="6">
        <v>13.05</v>
      </c>
      <c r="BQ2" s="6">
        <v>2.17</v>
      </c>
      <c r="BR2" s="14" t="s">
        <v>68</v>
      </c>
      <c r="BS2" s="6">
        <v>4.8499999999999996</v>
      </c>
    </row>
    <row r="3" spans="1:71" ht="14.5">
      <c r="A3" s="14" t="s">
        <v>172</v>
      </c>
      <c r="B3" s="14">
        <v>13</v>
      </c>
      <c r="C3" s="14">
        <f t="shared" ref="C3:C9" si="0">2023.75-(B3/0.0499)</f>
        <v>1763.2289579158316</v>
      </c>
      <c r="D3" s="6">
        <v>20705.32</v>
      </c>
      <c r="E3" s="6">
        <v>194.98</v>
      </c>
      <c r="F3" s="6">
        <v>717.71</v>
      </c>
      <c r="G3" s="6">
        <v>301.83</v>
      </c>
      <c r="H3" s="6">
        <v>1740.55</v>
      </c>
      <c r="I3" s="6">
        <v>169.76</v>
      </c>
      <c r="J3" s="6">
        <v>2759.3</v>
      </c>
      <c r="K3" s="6">
        <v>120.06</v>
      </c>
      <c r="L3" s="6">
        <v>34.11</v>
      </c>
      <c r="M3" s="6">
        <v>14.02</v>
      </c>
      <c r="N3" s="6">
        <v>4943.47</v>
      </c>
      <c r="O3" s="6">
        <v>60.47</v>
      </c>
      <c r="P3" s="6">
        <v>130.69999999999999</v>
      </c>
      <c r="Q3" s="6">
        <v>15.58</v>
      </c>
      <c r="R3" s="6">
        <v>64.44</v>
      </c>
      <c r="S3" s="6">
        <v>8.07</v>
      </c>
      <c r="T3" s="14" t="s">
        <v>68</v>
      </c>
      <c r="U3" s="6">
        <v>34.36</v>
      </c>
      <c r="V3" s="6">
        <v>32278.38</v>
      </c>
      <c r="W3" s="6">
        <v>163.89</v>
      </c>
      <c r="X3" s="14" t="s">
        <v>68</v>
      </c>
      <c r="Y3" s="6">
        <v>88.98</v>
      </c>
      <c r="Z3" s="14" t="s">
        <v>68</v>
      </c>
      <c r="AA3" s="6">
        <v>19.11</v>
      </c>
      <c r="AB3" s="6">
        <v>27</v>
      </c>
      <c r="AC3" s="6">
        <v>8.08</v>
      </c>
      <c r="AD3" s="6">
        <v>231.41</v>
      </c>
      <c r="AE3" s="6">
        <v>8.36</v>
      </c>
      <c r="AF3" s="6">
        <v>29.57</v>
      </c>
      <c r="AG3" s="6">
        <v>3.81</v>
      </c>
      <c r="AH3" s="14" t="s">
        <v>68</v>
      </c>
      <c r="AI3" s="6">
        <v>2.2599999999999998</v>
      </c>
      <c r="AJ3" s="6">
        <v>179.97</v>
      </c>
      <c r="AK3" s="6">
        <v>3.15</v>
      </c>
      <c r="AL3" s="6">
        <v>158.76</v>
      </c>
      <c r="AM3" s="6">
        <v>2.63</v>
      </c>
      <c r="AN3" s="6">
        <v>277.41000000000003</v>
      </c>
      <c r="AO3" s="6">
        <v>3.43</v>
      </c>
      <c r="AP3" s="6">
        <v>10.42</v>
      </c>
      <c r="AQ3" s="6">
        <v>1.75</v>
      </c>
      <c r="AR3" s="14" t="s">
        <v>68</v>
      </c>
      <c r="AS3" s="6">
        <v>3.94</v>
      </c>
      <c r="AT3" s="14" t="s">
        <v>68</v>
      </c>
      <c r="AU3" s="6">
        <v>3.57</v>
      </c>
      <c r="AV3" s="14" t="s">
        <v>68</v>
      </c>
      <c r="AW3" s="6">
        <v>5.31</v>
      </c>
      <c r="AX3" s="14" t="s">
        <v>68</v>
      </c>
      <c r="AY3" s="6">
        <v>3.76</v>
      </c>
      <c r="AZ3" s="14" t="s">
        <v>68</v>
      </c>
      <c r="BA3" s="6">
        <v>5.69</v>
      </c>
      <c r="BB3" s="14" t="s">
        <v>68</v>
      </c>
      <c r="BC3" s="6">
        <v>11.51</v>
      </c>
      <c r="BD3" s="14" t="s">
        <v>68</v>
      </c>
      <c r="BE3" s="6">
        <v>3.98</v>
      </c>
      <c r="BF3" s="14" t="s">
        <v>68</v>
      </c>
      <c r="BG3" s="6">
        <v>17.86</v>
      </c>
      <c r="BH3" s="14" t="s">
        <v>68</v>
      </c>
      <c r="BI3" s="6">
        <v>24.1</v>
      </c>
      <c r="BJ3" s="14" t="s">
        <v>68</v>
      </c>
      <c r="BK3" s="6">
        <v>3.33</v>
      </c>
      <c r="BL3" s="14" t="s">
        <v>68</v>
      </c>
      <c r="BM3" s="6">
        <v>5.25</v>
      </c>
      <c r="BN3" s="6">
        <v>76.25</v>
      </c>
      <c r="BO3" s="6">
        <v>4.3</v>
      </c>
      <c r="BP3" s="6">
        <v>16.809999999999999</v>
      </c>
      <c r="BQ3" s="6">
        <v>2.2799999999999998</v>
      </c>
      <c r="BR3" s="14" t="s">
        <v>68</v>
      </c>
      <c r="BS3" s="6">
        <v>5.03</v>
      </c>
    </row>
    <row r="4" spans="1:71" ht="14.5">
      <c r="A4" s="14" t="s">
        <v>173</v>
      </c>
      <c r="B4" s="14">
        <v>17</v>
      </c>
      <c r="C4" s="14">
        <f t="shared" si="0"/>
        <v>1683.068637274549</v>
      </c>
      <c r="D4" s="6">
        <v>20830.740000000002</v>
      </c>
      <c r="E4" s="6">
        <v>182.65</v>
      </c>
      <c r="F4" s="14" t="s">
        <v>68</v>
      </c>
      <c r="G4" s="6">
        <v>358.84</v>
      </c>
      <c r="H4" s="6">
        <v>1645.93</v>
      </c>
      <c r="I4" s="6">
        <v>152.66</v>
      </c>
      <c r="J4" s="6">
        <v>1683.51</v>
      </c>
      <c r="K4" s="6">
        <v>110.22</v>
      </c>
      <c r="L4" s="6">
        <v>29.32</v>
      </c>
      <c r="M4" s="6">
        <v>11.75</v>
      </c>
      <c r="N4" s="6">
        <v>5115.2700000000004</v>
      </c>
      <c r="O4" s="6">
        <v>57</v>
      </c>
      <c r="P4" s="6">
        <v>129.58000000000001</v>
      </c>
      <c r="Q4" s="6">
        <v>14.58</v>
      </c>
      <c r="R4" s="6">
        <v>62.6</v>
      </c>
      <c r="S4" s="6">
        <v>7.42</v>
      </c>
      <c r="T4" s="14" t="s">
        <v>68</v>
      </c>
      <c r="U4" s="6">
        <v>32.49</v>
      </c>
      <c r="V4" s="6">
        <v>22410.92</v>
      </c>
      <c r="W4" s="6">
        <v>133.66</v>
      </c>
      <c r="X4" s="14" t="s">
        <v>68</v>
      </c>
      <c r="Y4" s="6">
        <v>72.819999999999993</v>
      </c>
      <c r="Z4" s="14" t="s">
        <v>68</v>
      </c>
      <c r="AA4" s="6">
        <v>18.34</v>
      </c>
      <c r="AB4" s="6">
        <v>21.79</v>
      </c>
      <c r="AC4" s="6">
        <v>7.69</v>
      </c>
      <c r="AD4" s="6">
        <v>226.65</v>
      </c>
      <c r="AE4" s="6">
        <v>8.08</v>
      </c>
      <c r="AF4" s="6">
        <v>11.64</v>
      </c>
      <c r="AG4" s="6">
        <v>3.54</v>
      </c>
      <c r="AH4" s="14" t="s">
        <v>68</v>
      </c>
      <c r="AI4" s="6">
        <v>2.17</v>
      </c>
      <c r="AJ4" s="6">
        <v>178.44</v>
      </c>
      <c r="AK4" s="6">
        <v>3.07</v>
      </c>
      <c r="AL4" s="6">
        <v>159.18</v>
      </c>
      <c r="AM4" s="6">
        <v>2.57</v>
      </c>
      <c r="AN4" s="6">
        <v>303.98</v>
      </c>
      <c r="AO4" s="6">
        <v>3.48</v>
      </c>
      <c r="AP4" s="6">
        <v>9.7799999999999994</v>
      </c>
      <c r="AQ4" s="6">
        <v>1.72</v>
      </c>
      <c r="AR4" s="14" t="s">
        <v>68</v>
      </c>
      <c r="AS4" s="6">
        <v>4.0199999999999996</v>
      </c>
      <c r="AT4" s="14" t="s">
        <v>68</v>
      </c>
      <c r="AU4" s="6">
        <v>3.68</v>
      </c>
      <c r="AV4" s="14" t="s">
        <v>68</v>
      </c>
      <c r="AW4" s="6">
        <v>5.27</v>
      </c>
      <c r="AX4" s="14" t="s">
        <v>68</v>
      </c>
      <c r="AY4" s="6">
        <v>3.81</v>
      </c>
      <c r="AZ4" s="14" t="s">
        <v>68</v>
      </c>
      <c r="BA4" s="6">
        <v>5.77</v>
      </c>
      <c r="BB4" s="14" t="s">
        <v>68</v>
      </c>
      <c r="BC4" s="6">
        <v>11.63</v>
      </c>
      <c r="BD4" s="14" t="s">
        <v>68</v>
      </c>
      <c r="BE4" s="6">
        <v>3.98</v>
      </c>
      <c r="BF4" s="14" t="s">
        <v>68</v>
      </c>
      <c r="BG4" s="6">
        <v>17.989999999999998</v>
      </c>
      <c r="BH4" s="14" t="s">
        <v>68</v>
      </c>
      <c r="BI4" s="6">
        <v>23.13</v>
      </c>
      <c r="BJ4" s="14" t="s">
        <v>68</v>
      </c>
      <c r="BK4" s="6">
        <v>3.34</v>
      </c>
      <c r="BL4" s="14" t="s">
        <v>68</v>
      </c>
      <c r="BM4" s="6">
        <v>5.09</v>
      </c>
      <c r="BN4" s="6">
        <v>81.92</v>
      </c>
      <c r="BO4" s="6">
        <v>4.3099999999999996</v>
      </c>
      <c r="BP4" s="6">
        <v>19.920000000000002</v>
      </c>
      <c r="BQ4" s="6">
        <v>2.29</v>
      </c>
      <c r="BR4" s="14" t="s">
        <v>68</v>
      </c>
      <c r="BS4" s="6">
        <v>4.99</v>
      </c>
    </row>
    <row r="5" spans="1:71" ht="14.5">
      <c r="A5" s="14" t="s">
        <v>174</v>
      </c>
      <c r="B5" s="14">
        <v>21</v>
      </c>
      <c r="C5" s="14">
        <f t="shared" si="0"/>
        <v>1602.9083166332666</v>
      </c>
      <c r="D5" s="6">
        <v>20016.53</v>
      </c>
      <c r="E5" s="6">
        <v>177.08</v>
      </c>
      <c r="F5" s="14" t="s">
        <v>68</v>
      </c>
      <c r="G5" s="6">
        <v>360.56</v>
      </c>
      <c r="H5" s="6">
        <v>6258.33</v>
      </c>
      <c r="I5" s="6">
        <v>251.8</v>
      </c>
      <c r="J5" s="6">
        <v>896.66</v>
      </c>
      <c r="K5" s="6">
        <v>104.6</v>
      </c>
      <c r="L5" s="6">
        <v>31.52</v>
      </c>
      <c r="M5" s="6">
        <v>10.73</v>
      </c>
      <c r="N5" s="6">
        <v>4885.37</v>
      </c>
      <c r="O5" s="6">
        <v>54.94</v>
      </c>
      <c r="P5" s="6">
        <v>140.47999999999999</v>
      </c>
      <c r="Q5" s="6">
        <v>14.15</v>
      </c>
      <c r="R5" s="6">
        <v>73.88</v>
      </c>
      <c r="S5" s="6">
        <v>7.23</v>
      </c>
      <c r="T5" s="14" t="s">
        <v>68</v>
      </c>
      <c r="U5" s="6">
        <v>37.549999999999997</v>
      </c>
      <c r="V5" s="6">
        <v>32816.980000000003</v>
      </c>
      <c r="W5" s="6">
        <v>177.65</v>
      </c>
      <c r="X5" s="14" t="s">
        <v>68</v>
      </c>
      <c r="Y5" s="6">
        <v>96.96</v>
      </c>
      <c r="Z5" s="14" t="s">
        <v>68</v>
      </c>
      <c r="AA5" s="6">
        <v>21.83</v>
      </c>
      <c r="AB5" s="6">
        <v>48.56</v>
      </c>
      <c r="AC5" s="6">
        <v>9.58</v>
      </c>
      <c r="AD5" s="6">
        <v>454.24</v>
      </c>
      <c r="AE5" s="6">
        <v>12.06</v>
      </c>
      <c r="AF5" s="6">
        <v>41.61</v>
      </c>
      <c r="AG5" s="6">
        <v>4.7</v>
      </c>
      <c r="AH5" s="14" t="s">
        <v>68</v>
      </c>
      <c r="AI5" s="6">
        <v>2.62</v>
      </c>
      <c r="AJ5" s="6">
        <v>183.07</v>
      </c>
      <c r="AK5" s="6">
        <v>3.43</v>
      </c>
      <c r="AL5" s="6">
        <v>164.15</v>
      </c>
      <c r="AM5" s="6">
        <v>2.87</v>
      </c>
      <c r="AN5" s="6">
        <v>293.92</v>
      </c>
      <c r="AO5" s="6">
        <v>3.79</v>
      </c>
      <c r="AP5" s="6">
        <v>16.579999999999998</v>
      </c>
      <c r="AQ5" s="6">
        <v>1.97</v>
      </c>
      <c r="AR5" s="14" t="s">
        <v>68</v>
      </c>
      <c r="AS5" s="6">
        <v>4.05</v>
      </c>
      <c r="AT5" s="14" t="s">
        <v>68</v>
      </c>
      <c r="AU5" s="6">
        <v>3.64</v>
      </c>
      <c r="AV5" s="14" t="s">
        <v>68</v>
      </c>
      <c r="AW5" s="6">
        <v>5.31</v>
      </c>
      <c r="AX5" s="14" t="s">
        <v>68</v>
      </c>
      <c r="AY5" s="6">
        <v>3.81</v>
      </c>
      <c r="AZ5" s="14" t="s">
        <v>68</v>
      </c>
      <c r="BA5" s="6">
        <v>5.82</v>
      </c>
      <c r="BB5" s="14" t="s">
        <v>68</v>
      </c>
      <c r="BC5" s="6">
        <v>11.95</v>
      </c>
      <c r="BD5" s="14" t="s">
        <v>68</v>
      </c>
      <c r="BE5" s="6">
        <v>4.1399999999999997</v>
      </c>
      <c r="BF5" s="14" t="s">
        <v>68</v>
      </c>
      <c r="BG5" s="6">
        <v>18.38</v>
      </c>
      <c r="BH5" s="6">
        <v>50.23</v>
      </c>
      <c r="BI5" s="6">
        <v>19.22</v>
      </c>
      <c r="BJ5" s="14" t="s">
        <v>68</v>
      </c>
      <c r="BK5" s="6">
        <v>3.9</v>
      </c>
      <c r="BL5" s="14" t="s">
        <v>68</v>
      </c>
      <c r="BM5" s="6">
        <v>6.19</v>
      </c>
      <c r="BN5" s="6">
        <v>103.97</v>
      </c>
      <c r="BO5" s="6">
        <v>5.25</v>
      </c>
      <c r="BP5" s="6">
        <v>19.09</v>
      </c>
      <c r="BQ5" s="6">
        <v>2.57</v>
      </c>
      <c r="BR5" s="14" t="s">
        <v>68</v>
      </c>
      <c r="BS5" s="6">
        <v>5.66</v>
      </c>
    </row>
    <row r="6" spans="1:71" ht="14.5">
      <c r="A6" s="14" t="s">
        <v>175</v>
      </c>
      <c r="B6" s="14">
        <v>31</v>
      </c>
      <c r="C6" s="14">
        <f t="shared" si="0"/>
        <v>1402.5075150300599</v>
      </c>
      <c r="D6" s="6">
        <v>19688.59</v>
      </c>
      <c r="E6" s="6">
        <v>175.04</v>
      </c>
      <c r="F6" s="14" t="s">
        <v>68</v>
      </c>
      <c r="G6" s="6">
        <v>350.83</v>
      </c>
      <c r="H6" s="6">
        <v>10859.11</v>
      </c>
      <c r="I6" s="6">
        <v>321.3</v>
      </c>
      <c r="J6" s="14" t="s">
        <v>68</v>
      </c>
      <c r="K6" s="6">
        <v>160.75</v>
      </c>
      <c r="L6" s="6">
        <v>29.46</v>
      </c>
      <c r="M6" s="6">
        <v>9.41</v>
      </c>
      <c r="N6" s="6">
        <v>5249.13</v>
      </c>
      <c r="O6" s="6">
        <v>56.36</v>
      </c>
      <c r="P6" s="6">
        <v>130.33000000000001</v>
      </c>
      <c r="Q6" s="6">
        <v>14.35</v>
      </c>
      <c r="R6" s="6">
        <v>56.96</v>
      </c>
      <c r="S6" s="6">
        <v>7.27</v>
      </c>
      <c r="T6" s="6">
        <v>41.15</v>
      </c>
      <c r="U6" s="6">
        <v>22.63</v>
      </c>
      <c r="V6" s="6">
        <v>18632.55</v>
      </c>
      <c r="W6" s="6">
        <v>121</v>
      </c>
      <c r="X6" s="14" t="s">
        <v>68</v>
      </c>
      <c r="Y6" s="6">
        <v>66.81</v>
      </c>
      <c r="Z6" s="14" t="s">
        <v>68</v>
      </c>
      <c r="AA6" s="6">
        <v>18.18</v>
      </c>
      <c r="AB6" s="6">
        <v>22.76</v>
      </c>
      <c r="AC6" s="6">
        <v>7.44</v>
      </c>
      <c r="AD6" s="6">
        <v>104.63</v>
      </c>
      <c r="AE6" s="6">
        <v>5.98</v>
      </c>
      <c r="AF6" s="6">
        <v>24.62</v>
      </c>
      <c r="AG6" s="6">
        <v>4.55</v>
      </c>
      <c r="AH6" s="14" t="s">
        <v>68</v>
      </c>
      <c r="AI6" s="6">
        <v>2.15</v>
      </c>
      <c r="AJ6" s="6">
        <v>142.49</v>
      </c>
      <c r="AK6" s="6">
        <v>2.76</v>
      </c>
      <c r="AL6" s="6">
        <v>171.74</v>
      </c>
      <c r="AM6" s="6">
        <v>2.64</v>
      </c>
      <c r="AN6" s="6">
        <v>316.27</v>
      </c>
      <c r="AO6" s="6">
        <v>3.52</v>
      </c>
      <c r="AP6" s="6">
        <v>14.07</v>
      </c>
      <c r="AQ6" s="6">
        <v>1.75</v>
      </c>
      <c r="AR6" s="14" t="s">
        <v>68</v>
      </c>
      <c r="AS6" s="6">
        <v>4.37</v>
      </c>
      <c r="AT6" s="14" t="s">
        <v>68</v>
      </c>
      <c r="AU6" s="6">
        <v>4.18</v>
      </c>
      <c r="AV6" s="14" t="s">
        <v>68</v>
      </c>
      <c r="AW6" s="6">
        <v>6.09</v>
      </c>
      <c r="AX6" s="14" t="s">
        <v>68</v>
      </c>
      <c r="AY6" s="6">
        <v>4.5</v>
      </c>
      <c r="AZ6" s="14" t="s">
        <v>68</v>
      </c>
      <c r="BA6" s="6">
        <v>6.8</v>
      </c>
      <c r="BB6" s="14" t="s">
        <v>68</v>
      </c>
      <c r="BC6" s="6">
        <v>13.77</v>
      </c>
      <c r="BD6" s="14" t="s">
        <v>68</v>
      </c>
      <c r="BE6" s="6">
        <v>4.54</v>
      </c>
      <c r="BF6" s="6">
        <v>110.8</v>
      </c>
      <c r="BG6" s="6">
        <v>14.3</v>
      </c>
      <c r="BH6" s="14" t="s">
        <v>68</v>
      </c>
      <c r="BI6" s="6">
        <v>22.36</v>
      </c>
      <c r="BJ6" s="14" t="s">
        <v>68</v>
      </c>
      <c r="BK6" s="6">
        <v>3.29</v>
      </c>
      <c r="BL6" s="14" t="s">
        <v>68</v>
      </c>
      <c r="BM6" s="6">
        <v>4.96</v>
      </c>
      <c r="BN6" s="6">
        <v>147.22</v>
      </c>
      <c r="BO6" s="6">
        <v>5.46</v>
      </c>
      <c r="BP6" s="6">
        <v>17.71</v>
      </c>
      <c r="BQ6" s="6">
        <v>2.2999999999999998</v>
      </c>
      <c r="BR6" s="6">
        <v>4.9800000000000004</v>
      </c>
      <c r="BS6" s="6">
        <v>3.16</v>
      </c>
    </row>
    <row r="7" spans="1:71" ht="14.5">
      <c r="A7" s="14" t="s">
        <v>176</v>
      </c>
      <c r="B7" s="14">
        <v>37</v>
      </c>
      <c r="C7" s="14">
        <f t="shared" si="0"/>
        <v>1282.2670340681361</v>
      </c>
      <c r="D7" s="6">
        <v>20641.560000000001</v>
      </c>
      <c r="E7" s="6">
        <v>199.2</v>
      </c>
      <c r="F7" s="14" t="s">
        <v>68</v>
      </c>
      <c r="G7" s="6">
        <v>439.99</v>
      </c>
      <c r="H7" s="6">
        <v>19497.09</v>
      </c>
      <c r="I7" s="6">
        <v>471.91</v>
      </c>
      <c r="J7" s="6">
        <v>1265.27</v>
      </c>
      <c r="K7" s="6">
        <v>115.53</v>
      </c>
      <c r="L7" s="6">
        <v>21.58</v>
      </c>
      <c r="M7" s="6">
        <v>11.95</v>
      </c>
      <c r="N7" s="6">
        <v>4699.07</v>
      </c>
      <c r="O7" s="6">
        <v>60.2</v>
      </c>
      <c r="P7" s="6">
        <v>129.02000000000001</v>
      </c>
      <c r="Q7" s="6">
        <v>15.56</v>
      </c>
      <c r="R7" s="6">
        <v>61.13</v>
      </c>
      <c r="S7" s="6">
        <v>8.16</v>
      </c>
      <c r="T7" s="6">
        <v>61.77</v>
      </c>
      <c r="U7" s="6">
        <v>24.76</v>
      </c>
      <c r="V7" s="6">
        <v>31818.1</v>
      </c>
      <c r="W7" s="6">
        <v>162.57</v>
      </c>
      <c r="X7" s="6">
        <v>90.23</v>
      </c>
      <c r="Y7" s="6">
        <v>59.29</v>
      </c>
      <c r="Z7" s="14" t="s">
        <v>68</v>
      </c>
      <c r="AA7" s="6">
        <v>19.41</v>
      </c>
      <c r="AB7" s="6">
        <v>25.2</v>
      </c>
      <c r="AC7" s="6">
        <v>7.9</v>
      </c>
      <c r="AD7" s="6">
        <v>886.85</v>
      </c>
      <c r="AE7" s="6">
        <v>15.16</v>
      </c>
      <c r="AF7" s="6">
        <v>44.47</v>
      </c>
      <c r="AG7" s="6">
        <v>5.39</v>
      </c>
      <c r="AH7" s="14" t="s">
        <v>68</v>
      </c>
      <c r="AI7" s="6">
        <v>2.37</v>
      </c>
      <c r="AJ7" s="6">
        <v>151.5</v>
      </c>
      <c r="AK7" s="6">
        <v>2.93</v>
      </c>
      <c r="AL7" s="6">
        <v>146.65</v>
      </c>
      <c r="AM7" s="6">
        <v>2.5299999999999998</v>
      </c>
      <c r="AN7" s="6">
        <v>241.15</v>
      </c>
      <c r="AO7" s="6">
        <v>3.23</v>
      </c>
      <c r="AP7" s="6">
        <v>14.03</v>
      </c>
      <c r="AQ7" s="6">
        <v>1.76</v>
      </c>
      <c r="AR7" s="14" t="s">
        <v>68</v>
      </c>
      <c r="AS7" s="6">
        <v>4.62</v>
      </c>
      <c r="AT7" s="14" t="s">
        <v>68</v>
      </c>
      <c r="AU7" s="6">
        <v>4.26</v>
      </c>
      <c r="AV7" s="14" t="s">
        <v>68</v>
      </c>
      <c r="AW7" s="6">
        <v>6.23</v>
      </c>
      <c r="AX7" s="14" t="s">
        <v>68</v>
      </c>
      <c r="AY7" s="6">
        <v>4.62</v>
      </c>
      <c r="AZ7" s="14" t="s">
        <v>68</v>
      </c>
      <c r="BA7" s="6">
        <v>6.96</v>
      </c>
      <c r="BB7" s="14" t="s">
        <v>68</v>
      </c>
      <c r="BC7" s="6">
        <v>14.09</v>
      </c>
      <c r="BD7" s="14" t="s">
        <v>68</v>
      </c>
      <c r="BE7" s="6">
        <v>4.6900000000000004</v>
      </c>
      <c r="BF7" s="6">
        <v>89.69</v>
      </c>
      <c r="BG7" s="6">
        <v>14.68</v>
      </c>
      <c r="BH7" s="14" t="s">
        <v>68</v>
      </c>
      <c r="BI7" s="6">
        <v>23.99</v>
      </c>
      <c r="BJ7" s="14" t="s">
        <v>68</v>
      </c>
      <c r="BK7" s="6">
        <v>3.65</v>
      </c>
      <c r="BL7" s="6">
        <v>5.51</v>
      </c>
      <c r="BM7" s="6">
        <v>3.55</v>
      </c>
      <c r="BN7" s="6">
        <v>189.3</v>
      </c>
      <c r="BO7" s="6">
        <v>6.32</v>
      </c>
      <c r="BP7" s="6">
        <v>17.989999999999998</v>
      </c>
      <c r="BQ7" s="6">
        <v>2.4900000000000002</v>
      </c>
      <c r="BR7" s="14" t="s">
        <v>68</v>
      </c>
      <c r="BS7" s="6">
        <v>4.96</v>
      </c>
    </row>
    <row r="8" spans="1:71" ht="14.5">
      <c r="A8" s="14" t="s">
        <v>177</v>
      </c>
      <c r="B8" s="14">
        <v>41</v>
      </c>
      <c r="C8" s="14">
        <f t="shared" si="0"/>
        <v>1202.1067134268537</v>
      </c>
      <c r="D8" s="6">
        <v>20325.64</v>
      </c>
      <c r="E8" s="6">
        <v>195.1</v>
      </c>
      <c r="F8" s="14" t="s">
        <v>68</v>
      </c>
      <c r="G8" s="6">
        <v>432.12</v>
      </c>
      <c r="H8" s="6">
        <v>18195.400000000001</v>
      </c>
      <c r="I8" s="6">
        <v>450.68</v>
      </c>
      <c r="J8" s="6">
        <v>1982.47</v>
      </c>
      <c r="K8" s="6">
        <v>109.7</v>
      </c>
      <c r="L8" s="6">
        <v>31.1</v>
      </c>
      <c r="M8" s="6">
        <v>12.3</v>
      </c>
      <c r="N8" s="6">
        <v>4399.68</v>
      </c>
      <c r="O8" s="6">
        <v>57.42</v>
      </c>
      <c r="P8" s="6">
        <v>122.45</v>
      </c>
      <c r="Q8" s="6">
        <v>14.85</v>
      </c>
      <c r="R8" s="6">
        <v>61.77</v>
      </c>
      <c r="S8" s="6">
        <v>7.93</v>
      </c>
      <c r="T8" s="6">
        <v>56.81</v>
      </c>
      <c r="U8" s="6">
        <v>25.14</v>
      </c>
      <c r="V8" s="6">
        <v>34097.199999999997</v>
      </c>
      <c r="W8" s="6">
        <v>170.57</v>
      </c>
      <c r="X8" s="6">
        <v>139.19999999999999</v>
      </c>
      <c r="Y8" s="6">
        <v>62.4</v>
      </c>
      <c r="Z8" s="14" t="s">
        <v>68</v>
      </c>
      <c r="AA8" s="6">
        <v>19.809999999999999</v>
      </c>
      <c r="AB8" s="6">
        <v>26.47</v>
      </c>
      <c r="AC8" s="6">
        <v>8.1</v>
      </c>
      <c r="AD8" s="6">
        <v>660.22</v>
      </c>
      <c r="AE8" s="6">
        <v>13.39</v>
      </c>
      <c r="AF8" s="6">
        <v>29.83</v>
      </c>
      <c r="AG8" s="6">
        <v>5.14</v>
      </c>
      <c r="AH8" s="14" t="s">
        <v>68</v>
      </c>
      <c r="AI8" s="6">
        <v>2.37</v>
      </c>
      <c r="AJ8" s="6">
        <v>151.59</v>
      </c>
      <c r="AK8" s="6">
        <v>2.96</v>
      </c>
      <c r="AL8" s="6">
        <v>146.53</v>
      </c>
      <c r="AM8" s="6">
        <v>2.56</v>
      </c>
      <c r="AN8" s="6">
        <v>215.5</v>
      </c>
      <c r="AO8" s="6">
        <v>3.13</v>
      </c>
      <c r="AP8" s="6">
        <v>15.18</v>
      </c>
      <c r="AQ8" s="6">
        <v>1.77</v>
      </c>
      <c r="AR8" s="14" t="s">
        <v>68</v>
      </c>
      <c r="AS8" s="6">
        <v>4.6100000000000003</v>
      </c>
      <c r="AT8" s="14" t="s">
        <v>68</v>
      </c>
      <c r="AU8" s="6">
        <v>4.43</v>
      </c>
      <c r="AV8" s="14" t="s">
        <v>68</v>
      </c>
      <c r="AW8" s="6">
        <v>6.4</v>
      </c>
      <c r="AX8" s="14" t="s">
        <v>68</v>
      </c>
      <c r="AY8" s="6">
        <v>4.7300000000000004</v>
      </c>
      <c r="AZ8" s="14" t="s">
        <v>68</v>
      </c>
      <c r="BA8" s="6">
        <v>7.17</v>
      </c>
      <c r="BB8" s="14" t="s">
        <v>68</v>
      </c>
      <c r="BC8" s="6">
        <v>14.51</v>
      </c>
      <c r="BD8" s="14" t="s">
        <v>68</v>
      </c>
      <c r="BE8" s="6">
        <v>4.7699999999999996</v>
      </c>
      <c r="BF8" s="6">
        <v>54.11</v>
      </c>
      <c r="BG8" s="6">
        <v>14.9</v>
      </c>
      <c r="BH8" s="14" t="s">
        <v>68</v>
      </c>
      <c r="BI8" s="6">
        <v>24.51</v>
      </c>
      <c r="BJ8" s="14" t="s">
        <v>68</v>
      </c>
      <c r="BK8" s="6">
        <v>3.58</v>
      </c>
      <c r="BL8" s="14" t="s">
        <v>68</v>
      </c>
      <c r="BM8" s="6">
        <v>5.35</v>
      </c>
      <c r="BN8" s="6">
        <v>174.18</v>
      </c>
      <c r="BO8" s="6">
        <v>6.17</v>
      </c>
      <c r="BP8" s="6">
        <v>16.2</v>
      </c>
      <c r="BQ8" s="6">
        <v>2.46</v>
      </c>
      <c r="BR8" s="14" t="s">
        <v>68</v>
      </c>
      <c r="BS8" s="6">
        <v>4.92</v>
      </c>
    </row>
    <row r="9" spans="1:71" ht="14.5">
      <c r="A9" s="14" t="s">
        <v>178</v>
      </c>
      <c r="B9" s="14">
        <v>47</v>
      </c>
      <c r="C9" s="14">
        <f t="shared" si="0"/>
        <v>1081.8662324649299</v>
      </c>
      <c r="D9" s="6">
        <v>18089.419999999998</v>
      </c>
      <c r="E9" s="6">
        <v>175.8</v>
      </c>
      <c r="F9" s="14" t="s">
        <v>68</v>
      </c>
      <c r="G9" s="6">
        <v>367.44</v>
      </c>
      <c r="H9" s="6">
        <v>13811.6</v>
      </c>
      <c r="I9" s="6">
        <v>376.66</v>
      </c>
      <c r="J9" s="6">
        <v>1289.18</v>
      </c>
      <c r="K9" s="6">
        <v>110.52</v>
      </c>
      <c r="L9" s="6">
        <v>27.85</v>
      </c>
      <c r="M9" s="6">
        <v>11.69</v>
      </c>
      <c r="N9" s="6">
        <v>4465.21</v>
      </c>
      <c r="O9" s="6">
        <v>54.6</v>
      </c>
      <c r="P9" s="6">
        <v>112.52</v>
      </c>
      <c r="Q9" s="6">
        <v>13.97</v>
      </c>
      <c r="R9" s="6">
        <v>44.25</v>
      </c>
      <c r="S9" s="6">
        <v>7.28</v>
      </c>
      <c r="T9" s="6">
        <v>94.83</v>
      </c>
      <c r="U9" s="6">
        <v>25.41</v>
      </c>
      <c r="V9" s="6">
        <v>27210.77</v>
      </c>
      <c r="W9" s="6">
        <v>150.26</v>
      </c>
      <c r="X9" s="14" t="s">
        <v>68</v>
      </c>
      <c r="Y9" s="6">
        <v>82.32</v>
      </c>
      <c r="Z9" s="14" t="s">
        <v>68</v>
      </c>
      <c r="AA9" s="6">
        <v>19.09</v>
      </c>
      <c r="AB9" s="6">
        <v>17.399999999999999</v>
      </c>
      <c r="AC9" s="6">
        <v>7.63</v>
      </c>
      <c r="AD9" s="6">
        <v>220.69</v>
      </c>
      <c r="AE9" s="6">
        <v>8.14</v>
      </c>
      <c r="AF9" s="6">
        <v>27.31</v>
      </c>
      <c r="AG9" s="6">
        <v>3.68</v>
      </c>
      <c r="AH9" s="14" t="s">
        <v>68</v>
      </c>
      <c r="AI9" s="6">
        <v>2.19</v>
      </c>
      <c r="AJ9" s="6">
        <v>114.31</v>
      </c>
      <c r="AK9" s="6">
        <v>2.56</v>
      </c>
      <c r="AL9" s="6">
        <v>111.28</v>
      </c>
      <c r="AM9" s="6">
        <v>2.2200000000000002</v>
      </c>
      <c r="AN9" s="6">
        <v>276.37</v>
      </c>
      <c r="AO9" s="6">
        <v>3.37</v>
      </c>
      <c r="AP9" s="6">
        <v>9.35</v>
      </c>
      <c r="AQ9" s="6">
        <v>1.73</v>
      </c>
      <c r="AR9" s="14" t="s">
        <v>68</v>
      </c>
      <c r="AS9" s="6">
        <v>4.72</v>
      </c>
      <c r="AT9" s="14" t="s">
        <v>68</v>
      </c>
      <c r="AU9" s="6">
        <v>4.4800000000000004</v>
      </c>
      <c r="AV9" s="14" t="s">
        <v>68</v>
      </c>
      <c r="AW9" s="6">
        <v>6.42</v>
      </c>
      <c r="AX9" s="14" t="s">
        <v>68</v>
      </c>
      <c r="AY9" s="6">
        <v>4.8099999999999996</v>
      </c>
      <c r="AZ9" s="14" t="s">
        <v>68</v>
      </c>
      <c r="BA9" s="6">
        <v>7.36</v>
      </c>
      <c r="BB9" s="14" t="s">
        <v>68</v>
      </c>
      <c r="BC9" s="6">
        <v>14.79</v>
      </c>
      <c r="BD9" s="6">
        <v>6.16</v>
      </c>
      <c r="BE9" s="6">
        <v>3.23</v>
      </c>
      <c r="BF9" s="6">
        <v>161.99</v>
      </c>
      <c r="BG9" s="6">
        <v>15.2</v>
      </c>
      <c r="BH9" s="14" t="s">
        <v>68</v>
      </c>
      <c r="BI9" s="6">
        <v>22.95</v>
      </c>
      <c r="BJ9" s="14" t="s">
        <v>68</v>
      </c>
      <c r="BK9" s="6">
        <v>3.35</v>
      </c>
      <c r="BL9" s="14" t="s">
        <v>68</v>
      </c>
      <c r="BM9" s="6">
        <v>5.14</v>
      </c>
      <c r="BN9" s="6">
        <v>71.290000000000006</v>
      </c>
      <c r="BO9" s="6">
        <v>4.1500000000000004</v>
      </c>
      <c r="BP9" s="6">
        <v>12.42</v>
      </c>
      <c r="BQ9" s="6">
        <v>2.08</v>
      </c>
      <c r="BR9" s="14" t="s">
        <v>68</v>
      </c>
      <c r="BS9" s="6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CCO0</vt:lpstr>
      <vt:lpstr>CCO3</vt:lpstr>
      <vt:lpstr>STOm</vt:lpstr>
      <vt:lpstr>STO3</vt:lpstr>
      <vt:lpstr>CLRm</vt:lpstr>
      <vt:lpstr>CLR3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la Casa Sánchez</dc:creator>
  <cp:lastModifiedBy>Elena Baños Lara</cp:lastModifiedBy>
  <dcterms:created xsi:type="dcterms:W3CDTF">2024-02-07T16:33:25Z</dcterms:created>
  <dcterms:modified xsi:type="dcterms:W3CDTF">2026-02-23T13:47:16Z</dcterms:modified>
</cp:coreProperties>
</file>